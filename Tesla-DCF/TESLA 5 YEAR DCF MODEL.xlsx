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aron\Downloads\"/>
    </mc:Choice>
  </mc:AlternateContent>
  <xr:revisionPtr revIDLastSave="0" documentId="8_{07DEBE55-69E0-4754-A222-65F5CEE0FC6F}" xr6:coauthVersionLast="47" xr6:coauthVersionMax="47" xr10:uidLastSave="{00000000-0000-0000-0000-000000000000}"/>
  <bookViews>
    <workbookView xWindow="11772" yWindow="1440" windowWidth="12612" windowHeight="10524" firstSheet="4" activeTab="6" xr2:uid="{4C21E9D5-6FA2-4767-A8F9-EAF9C83D430D}"/>
  </bookViews>
  <sheets>
    <sheet name="Hist" sheetId="3" r:id="rId1"/>
    <sheet name="Assumptions" sheetId="1" r:id="rId2"/>
    <sheet name="FCF" sheetId="5" r:id="rId3"/>
    <sheet name="DCF Valuation" sheetId="7" r:id="rId4"/>
    <sheet name="Forecast" sheetId="4" r:id="rId5"/>
    <sheet name="DCF" sheetId="6" r:id="rId6"/>
    <sheet name="Valuation Summary" sheetId="9" r:id="rId7"/>
  </sheets>
  <definedNames>
    <definedName name="_xlchart.v1.0" hidden="1">'Valuation Summary'!$A$2</definedName>
    <definedName name="_xlchart.v1.1" hidden="1">'Valuation Summary'!$B$1:$F$1</definedName>
    <definedName name="_xlchart.v1.2" hidden="1">'Valuation Summary'!$B$2:$F$2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5" l="1"/>
  <c r="C2" i="7"/>
  <c r="F2" i="7"/>
  <c r="E2" i="7"/>
  <c r="D2" i="7"/>
  <c r="B2" i="7"/>
  <c r="B7" i="6"/>
  <c r="F2" i="6"/>
  <c r="E2" i="6"/>
  <c r="B8" i="6" s="1"/>
  <c r="D2" i="6"/>
  <c r="B4" i="6"/>
  <c r="O4" i="3"/>
  <c r="J4" i="3"/>
  <c r="B9" i="1"/>
  <c r="B2" i="1"/>
  <c r="B13" i="3"/>
  <c r="B12" i="3"/>
  <c r="B9" i="3"/>
  <c r="B6" i="1" s="1"/>
  <c r="B8" i="3"/>
  <c r="B5" i="1" s="1"/>
  <c r="B7" i="3"/>
  <c r="B4" i="1" s="1"/>
  <c r="B6" i="3"/>
  <c r="B3" i="1" s="1"/>
  <c r="B5" i="6" l="1"/>
  <c r="B6" i="6" s="1"/>
  <c r="B9" i="6"/>
  <c r="B10" i="6"/>
  <c r="B10" i="3"/>
  <c r="B11" i="3" s="1"/>
  <c r="B7" i="1" s="1"/>
  <c r="B14" i="3"/>
  <c r="B8" i="1" s="1"/>
  <c r="B2" i="4" s="1"/>
  <c r="B11" i="6" l="1"/>
  <c r="D3" i="7" s="1"/>
  <c r="D4" i="7" s="1"/>
  <c r="C2" i="4"/>
  <c r="B3" i="5"/>
  <c r="B4" i="5"/>
  <c r="B5" i="4"/>
  <c r="B3" i="4"/>
  <c r="B4" i="4" s="1"/>
  <c r="B5" i="5"/>
  <c r="F3" i="7" l="1"/>
  <c r="F4" i="7" s="1"/>
  <c r="E3" i="7"/>
  <c r="E4" i="7" s="1"/>
  <c r="B3" i="7"/>
  <c r="B4" i="7" s="1"/>
  <c r="F5" i="7"/>
  <c r="C3" i="7"/>
  <c r="C4" i="7" s="1"/>
  <c r="B6" i="4"/>
  <c r="B7" i="4" s="1"/>
  <c r="B8" i="4" s="1"/>
  <c r="B2" i="5" s="1"/>
  <c r="B7" i="5" s="1"/>
  <c r="C4" i="5"/>
  <c r="C3" i="4"/>
  <c r="C4" i="4" s="1"/>
  <c r="C5" i="4"/>
  <c r="D2" i="4"/>
  <c r="C3" i="5"/>
  <c r="C5" i="5"/>
  <c r="C6" i="5" s="1"/>
  <c r="B7" i="7" l="1"/>
  <c r="F6" i="7"/>
  <c r="B8" i="7" s="1"/>
  <c r="B9" i="7" s="1"/>
  <c r="B10" i="7" s="1"/>
  <c r="C6" i="4"/>
  <c r="C7" i="4" s="1"/>
  <c r="C8" i="4" s="1"/>
  <c r="C2" i="5" s="1"/>
  <c r="C7" i="5" s="1"/>
  <c r="D5" i="4"/>
  <c r="E2" i="4"/>
  <c r="D4" i="5"/>
  <c r="D3" i="5"/>
  <c r="D3" i="4"/>
  <c r="D4" i="4" s="1"/>
  <c r="D5" i="5"/>
  <c r="D6" i="5" s="1"/>
  <c r="D6" i="4" l="1"/>
  <c r="D7" i="4" s="1"/>
  <c r="D8" i="4" s="1"/>
  <c r="D2" i="5" s="1"/>
  <c r="D7" i="5" s="1"/>
  <c r="E3" i="5"/>
  <c r="E3" i="4"/>
  <c r="E4" i="4" s="1"/>
  <c r="E5" i="4"/>
  <c r="E4" i="5"/>
  <c r="F2" i="4"/>
  <c r="E5" i="5"/>
  <c r="E6" i="5" s="1"/>
  <c r="E6" i="4" l="1"/>
  <c r="E7" i="4" s="1"/>
  <c r="E8" i="4" s="1"/>
  <c r="E2" i="5" s="1"/>
  <c r="E7" i="5" s="1"/>
  <c r="F4" i="5"/>
  <c r="F3" i="4"/>
  <c r="F4" i="4" s="1"/>
  <c r="F3" i="5"/>
  <c r="F5" i="4"/>
  <c r="F5" i="5"/>
  <c r="F6" i="5" s="1"/>
  <c r="F6" i="4" l="1"/>
  <c r="F7" i="4" s="1"/>
  <c r="F8" i="4" s="1"/>
  <c r="F2" i="5" s="1"/>
</calcChain>
</file>

<file path=xl/sharedStrings.xml><?xml version="1.0" encoding="utf-8"?>
<sst xmlns="http://schemas.openxmlformats.org/spreadsheetml/2006/main" count="109" uniqueCount="95">
  <si>
    <t>Year</t>
  </si>
  <si>
    <t>Revenue</t>
  </si>
  <si>
    <t>COGS</t>
  </si>
  <si>
    <t>OpEx</t>
  </si>
  <si>
    <t>Depreciation</t>
  </si>
  <si>
    <t>Capex</t>
  </si>
  <si>
    <t>Cost of Revenue</t>
  </si>
  <si>
    <t>Operating Ex</t>
  </si>
  <si>
    <t>COGS % of Revenue</t>
  </si>
  <si>
    <t>OpEx% of Revenue</t>
  </si>
  <si>
    <t>Depreciation% of Rev</t>
  </si>
  <si>
    <t>Capex% of Rev</t>
  </si>
  <si>
    <t>NWC</t>
  </si>
  <si>
    <t>NWC% of WC</t>
  </si>
  <si>
    <t>Rev Grwoth 22-23</t>
  </si>
  <si>
    <t>Rev Grwoth 21-22</t>
  </si>
  <si>
    <t>Avg Historical Growth</t>
  </si>
  <si>
    <t>Base year Rev</t>
  </si>
  <si>
    <t>COGS %</t>
  </si>
  <si>
    <t>OpEx %</t>
  </si>
  <si>
    <t>Dep %</t>
  </si>
  <si>
    <t>Capex%</t>
  </si>
  <si>
    <t>Gross Profit</t>
  </si>
  <si>
    <t>EBIT</t>
  </si>
  <si>
    <t>Taxes</t>
  </si>
  <si>
    <t>NOPAT</t>
  </si>
  <si>
    <t>Year 1</t>
  </si>
  <si>
    <t>Year 2</t>
  </si>
  <si>
    <t xml:space="preserve">Year 3 </t>
  </si>
  <si>
    <t>Year 4</t>
  </si>
  <si>
    <t>Year 5</t>
  </si>
  <si>
    <t>Assumptions</t>
  </si>
  <si>
    <t>Tax rate</t>
  </si>
  <si>
    <t>Tax Provision</t>
  </si>
  <si>
    <t>Income before tax</t>
  </si>
  <si>
    <t>EAR</t>
  </si>
  <si>
    <t>Year  3</t>
  </si>
  <si>
    <t>CapEx</t>
  </si>
  <si>
    <t>ΔNWC</t>
  </si>
  <si>
    <t>Free Cash Flow</t>
  </si>
  <si>
    <t>Accounts Rec</t>
  </si>
  <si>
    <t>Iventory</t>
  </si>
  <si>
    <t>other CA</t>
  </si>
  <si>
    <t>OP CA</t>
  </si>
  <si>
    <t>Accounts Payable</t>
  </si>
  <si>
    <t>Accurred expense</t>
  </si>
  <si>
    <t>Current provisions</t>
  </si>
  <si>
    <t>OP CL</t>
  </si>
  <si>
    <t>Other CL</t>
  </si>
  <si>
    <t>OP NWC</t>
  </si>
  <si>
    <t>OP NWC %</t>
  </si>
  <si>
    <t xml:space="preserve">          </t>
  </si>
  <si>
    <t>Beta</t>
  </si>
  <si>
    <t>Risk free rate %</t>
  </si>
  <si>
    <t>Market Risk Premium %</t>
  </si>
  <si>
    <t>CAPM (RE)</t>
  </si>
  <si>
    <t>Interest Expense</t>
  </si>
  <si>
    <t>Total Debt</t>
  </si>
  <si>
    <t>Short Term debt</t>
  </si>
  <si>
    <t>Long term debt</t>
  </si>
  <si>
    <t>Interest expense</t>
  </si>
  <si>
    <t>Capital leases C</t>
  </si>
  <si>
    <t>Capital leases L</t>
  </si>
  <si>
    <t>Pre tax (rd)</t>
  </si>
  <si>
    <t>Tax Rate</t>
  </si>
  <si>
    <t>After tax (rd)</t>
  </si>
  <si>
    <t>WACC</t>
  </si>
  <si>
    <t>Shares outstanding</t>
  </si>
  <si>
    <t>Price</t>
  </si>
  <si>
    <t>Equity value</t>
  </si>
  <si>
    <t>Total capital</t>
  </si>
  <si>
    <t>Equity weight</t>
  </si>
  <si>
    <t>Weight Debt</t>
  </si>
  <si>
    <t>FCF</t>
  </si>
  <si>
    <t>Discount factor</t>
  </si>
  <si>
    <t>PV of FCF</t>
  </si>
  <si>
    <t>Year 3</t>
  </si>
  <si>
    <t>GR</t>
  </si>
  <si>
    <t>Sum of PV of FCF</t>
  </si>
  <si>
    <t>Cash - Short term investments</t>
  </si>
  <si>
    <t>Equity Value</t>
  </si>
  <si>
    <t>Enterprise Value</t>
  </si>
  <si>
    <t>Terminal Value</t>
  </si>
  <si>
    <t>PV of Terminal Value</t>
  </si>
  <si>
    <t>Intrinsic Value per share</t>
  </si>
  <si>
    <t>Value</t>
  </si>
  <si>
    <t>PV of FCFs</t>
  </si>
  <si>
    <t>Cash</t>
  </si>
  <si>
    <t>Debt</t>
  </si>
  <si>
    <t>This project develops a fully linked 5-year discounted cash flow (DCF) valuation model for Tesla using real historical financial data and professionally structured assumptions. The model includes integrated forecasting, unlevered free cash flow modeling, WACC estimation, terminal value calculation, and full enterprise-to-equity value reconciliation.</t>
  </si>
  <si>
    <t>TESLA  5 YEAR DCF VALUATION SUMMARY OVERVIEW</t>
  </si>
  <si>
    <r>
      <rPr>
        <b/>
        <sz val="11"/>
        <color theme="1"/>
        <rFont val="Aptos Narrow"/>
        <family val="2"/>
        <scheme val="minor"/>
      </rPr>
      <t>Key Assumptions</t>
    </r>
    <r>
      <rPr>
        <sz val="11"/>
        <color theme="1"/>
        <rFont val="Aptos Narrow"/>
        <family val="2"/>
        <scheme val="minor"/>
      </rPr>
      <t xml:space="preserve">
Revenue growth based on Tesla’s 2021–2023 historical trend
COGS, OpEx, depreciation, and CapEx modeled as % of revenue
Effective tax rate: 10%
Net working capital modeled at 22% of revenue
Terminal growth rate (g): 2.5%
WACC (discount rate): 15.39%
Shares outstanding: 3.33B</t>
    </r>
  </si>
  <si>
    <r>
      <rPr>
        <b/>
        <sz val="11"/>
        <color theme="1"/>
        <rFont val="Aptos Narrow"/>
        <family val="2"/>
        <scheme val="minor"/>
      </rPr>
      <t xml:space="preserve">Free Cash Flow Forecast </t>
    </r>
    <r>
      <rPr>
        <sz val="11"/>
        <color theme="1"/>
        <rFont val="Aptos Narrow"/>
        <family val="2"/>
        <scheme val="minor"/>
      </rPr>
      <t xml:space="preserve">                                                                                                                   Unlevered free cash flow grows from $5.09M in Year 1 to $17.23M in Year 5, reflecting scalable operating performance and consistent reinvestment behavior.</t>
    </r>
  </si>
  <si>
    <r>
      <rPr>
        <b/>
        <sz val="11"/>
        <color theme="1"/>
        <rFont val="Aptos Narrow"/>
        <family val="2"/>
        <scheme val="minor"/>
      </rPr>
      <t xml:space="preserve">DCF Valuation Results          </t>
    </r>
    <r>
      <rPr>
        <sz val="11"/>
        <color theme="1"/>
        <rFont val="Aptos Narrow"/>
        <family val="2"/>
        <scheme val="minor"/>
      </rPr>
      <t xml:space="preserve">                                                                                                                                  PV of Free Cash Flows (Years 1–5): $31.42M
PV of Terminal Value: $66.96M
Enterprise Value: $98.39M
Cash &amp; Short-term investments: $29.09M
Total debt: $9.57M
Equity Value: $117.91M
Intrinsic Value per Share: $0.035</t>
    </r>
  </si>
  <si>
    <r>
      <rPr>
        <b/>
        <sz val="11"/>
        <color theme="1"/>
        <rFont val="Aptos Narrow"/>
        <family val="2"/>
        <scheme val="minor"/>
      </rPr>
      <t xml:space="preserve">Interpretation of Results   </t>
    </r>
    <r>
      <rPr>
        <sz val="11"/>
        <color theme="1"/>
        <rFont val="Aptos Narrow"/>
        <family val="2"/>
        <scheme val="minor"/>
      </rPr>
      <t xml:space="preserve">                                                                                                                                        This valuation demonstrates a complete and technically accurate application of the DCF framework. The model clearly shows how revenue growth, operating efficiency, reinvestment levels, and discount rates shape intrinsic value, providing insight into Tesla’s long-term financial drivers. While the inputs reflect a conservative baseline scenario, the analysis showcases strong skills in forecasting, free cash flow modeling, and translating financial performance into valuation outcomes.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</si>
</sst>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0.000%"/>
    <numFmt numFmtId="165" formatCode="0.0%"/>
    <numFmt numFmtId="166" formatCode="0.00000000"/>
    <numFmt numFmtId="167" formatCode="0.000"/>
  </numFmts>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rgb="FF232A31"/>
      <name val="Aptos Narrow"/>
      <family val="2"/>
    </font>
    <font>
      <b/>
      <sz val="11"/>
      <color rgb="FF232A31"/>
      <name val="Aptos Narrow"/>
      <family val="2"/>
    </font>
    <font>
      <sz val="8"/>
      <name val="Aptos Narrow"/>
      <family val="2"/>
      <scheme val="minor"/>
    </font>
    <font>
      <b/>
      <sz val="11"/>
      <color theme="0" tint="-0.14999847407452621"/>
      <name val="Aptos Narrow"/>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1" tint="0.499984740745262"/>
        <bgColor indexed="64"/>
      </patternFill>
    </fill>
    <fill>
      <patternFill patternType="solid">
        <fgColor theme="4"/>
        <bgColor indexed="64"/>
      </patternFill>
    </fill>
    <fill>
      <patternFill patternType="solid">
        <fgColor theme="2"/>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41">
    <xf numFmtId="0" fontId="0" fillId="0" borderId="0" xfId="0"/>
    <xf numFmtId="3" fontId="0" fillId="0" borderId="0" xfId="0" applyNumberFormat="1"/>
    <xf numFmtId="0" fontId="2" fillId="2" borderId="0" xfId="0" applyFont="1" applyFill="1"/>
    <xf numFmtId="0" fontId="0" fillId="2" borderId="0" xfId="0" applyFill="1"/>
    <xf numFmtId="9" fontId="0" fillId="0" borderId="0" xfId="2" applyFont="1"/>
    <xf numFmtId="9" fontId="0" fillId="0" borderId="0" xfId="0" applyNumberFormat="1"/>
    <xf numFmtId="3" fontId="3" fillId="0" borderId="0" xfId="0" applyNumberFormat="1" applyFont="1"/>
    <xf numFmtId="44" fontId="0" fillId="0" borderId="0" xfId="1" applyFont="1"/>
    <xf numFmtId="2" fontId="0" fillId="0" borderId="0" xfId="1" applyNumberFormat="1" applyFont="1"/>
    <xf numFmtId="9" fontId="0" fillId="0" borderId="0" xfId="1" applyNumberFormat="1" applyFont="1"/>
    <xf numFmtId="2" fontId="0" fillId="0" borderId="0" xfId="0" applyNumberFormat="1"/>
    <xf numFmtId="3" fontId="4" fillId="0" borderId="0" xfId="0" applyNumberFormat="1" applyFont="1"/>
    <xf numFmtId="3" fontId="2" fillId="0" borderId="0" xfId="0" applyNumberFormat="1" applyFont="1"/>
    <xf numFmtId="0" fontId="2" fillId="3" borderId="0" xfId="0" applyFont="1" applyFill="1"/>
    <xf numFmtId="164" fontId="0" fillId="0" borderId="0" xfId="2" applyNumberFormat="1" applyFont="1"/>
    <xf numFmtId="164" fontId="0" fillId="0" borderId="0" xfId="0" applyNumberFormat="1"/>
    <xf numFmtId="10" fontId="0" fillId="0" borderId="0" xfId="2" applyNumberFormat="1" applyFont="1"/>
    <xf numFmtId="10" fontId="0" fillId="0" borderId="0" xfId="0" applyNumberFormat="1"/>
    <xf numFmtId="1" fontId="0" fillId="0" borderId="0" xfId="0" applyNumberFormat="1"/>
    <xf numFmtId="166" fontId="0" fillId="0" borderId="0" xfId="0" applyNumberFormat="1"/>
    <xf numFmtId="167" fontId="0" fillId="0" borderId="0" xfId="0" applyNumberFormat="1"/>
    <xf numFmtId="165" fontId="0" fillId="0" borderId="0" xfId="2" applyNumberFormat="1" applyFont="1"/>
    <xf numFmtId="3" fontId="0" fillId="0" borderId="0" xfId="0" applyNumberFormat="1" applyAlignment="1">
      <alignment vertical="center" wrapText="1"/>
    </xf>
    <xf numFmtId="0" fontId="2" fillId="0" borderId="0" xfId="0" applyFont="1" applyAlignment="1">
      <alignment vertical="center" wrapText="1"/>
    </xf>
    <xf numFmtId="0" fontId="2" fillId="4" borderId="0" xfId="0" applyFont="1" applyFill="1" applyAlignment="1">
      <alignment horizontal="center" vertical="center" wrapText="1"/>
    </xf>
    <xf numFmtId="0" fontId="6" fillId="4" borderId="0" xfId="0" applyFont="1" applyFill="1" applyAlignment="1">
      <alignment horizontal="center" vertical="center" wrapText="1"/>
    </xf>
    <xf numFmtId="0" fontId="6" fillId="4" borderId="0" xfId="0" applyFont="1" applyFill="1"/>
    <xf numFmtId="0" fontId="0" fillId="0" borderId="0" xfId="0" applyAlignment="1">
      <alignment vertical="center" wrapText="1"/>
    </xf>
    <xf numFmtId="4" fontId="0" fillId="0" borderId="0" xfId="0" applyNumberFormat="1" applyAlignment="1">
      <alignment vertical="center" wrapText="1"/>
    </xf>
    <xf numFmtId="4" fontId="0" fillId="0" borderId="0" xfId="0" applyNumberFormat="1"/>
    <xf numFmtId="0" fontId="0" fillId="5" borderId="0" xfId="0" applyFill="1"/>
    <xf numFmtId="0" fontId="2" fillId="5" borderId="0" xfId="0" applyFont="1" applyFill="1"/>
    <xf numFmtId="3" fontId="0" fillId="0" borderId="0" xfId="0" applyNumberFormat="1" applyAlignment="1">
      <alignment horizontal="center"/>
    </xf>
    <xf numFmtId="0" fontId="0" fillId="0" borderId="0" xfId="0" applyAlignment="1">
      <alignment horizontal="center"/>
    </xf>
    <xf numFmtId="0" fontId="2" fillId="2" borderId="0" xfId="0" applyFont="1" applyFill="1" applyAlignment="1">
      <alignment horizontal="center"/>
    </xf>
    <xf numFmtId="0" fontId="0" fillId="0" borderId="0" xfId="0"/>
    <xf numFmtId="3" fontId="0" fillId="0" borderId="0" xfId="0" applyNumberFormat="1"/>
    <xf numFmtId="0" fontId="0" fillId="0" borderId="0" xfId="0" applyAlignment="1">
      <alignment horizontal="center" vertical="center" wrapText="1"/>
    </xf>
    <xf numFmtId="0" fontId="0" fillId="0" borderId="0" xfId="0" applyAlignment="1">
      <alignment wrapText="1"/>
    </xf>
    <xf numFmtId="0" fontId="0" fillId="0" borderId="0" xfId="0" applyAlignment="1">
      <alignment wrapText="1"/>
    </xf>
    <xf numFmtId="0" fontId="2" fillId="0" borderId="0" xfId="0" applyFont="1" applyAlignment="1">
      <alignment horizontal="center"/>
    </xf>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Unlevered Free Cash Flow</a:t>
            </a:r>
          </a:p>
        </c:rich>
      </c:tx>
      <c:layout>
        <c:manualLayout>
          <c:xMode val="edge"/>
          <c:yMode val="edge"/>
          <c:x val="0.3189097548252478"/>
          <c:y val="3.48128807658833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FCF!$A$7</c:f>
              <c:strCache>
                <c:ptCount val="1"/>
                <c:pt idx="0">
                  <c:v>Free Cash Flow</c:v>
                </c:pt>
              </c:strCache>
            </c:strRef>
          </c:tx>
          <c:spPr>
            <a:ln w="28575" cap="rnd">
              <a:solidFill>
                <a:schemeClr val="accent6"/>
              </a:solidFill>
              <a:round/>
            </a:ln>
            <a:effectLst/>
          </c:spPr>
          <c:marker>
            <c:symbol val="circle"/>
            <c:size val="5"/>
            <c:spPr>
              <a:solidFill>
                <a:schemeClr val="accent1"/>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FCF!$B$7:$F$7</c:f>
              <c:numCache>
                <c:formatCode>0.00</c:formatCode>
                <c:ptCount val="5"/>
                <c:pt idx="0">
                  <c:v>5092134.3524017129</c:v>
                </c:pt>
                <c:pt idx="1">
                  <c:v>6990400.6323467894</c:v>
                </c:pt>
                <c:pt idx="2">
                  <c:v>9442175.9720479902</c:v>
                </c:pt>
                <c:pt idx="3">
                  <c:v>12753873.744313505</c:v>
                </c:pt>
                <c:pt idx="4">
                  <c:v>17227098.495878648</c:v>
                </c:pt>
              </c:numCache>
            </c:numRef>
          </c:val>
          <c:smooth val="0"/>
          <c:extLst>
            <c:ext xmlns:c16="http://schemas.microsoft.com/office/drawing/2014/chart" uri="{C3380CC4-5D6E-409C-BE32-E72D297353CC}">
              <c16:uniqueId val="{00000000-CCCD-4123-8EE4-62892D634311}"/>
            </c:ext>
          </c:extLst>
        </c:ser>
        <c:dLbls>
          <c:showLegendKey val="0"/>
          <c:showVal val="0"/>
          <c:showCatName val="0"/>
          <c:showSerName val="0"/>
          <c:showPercent val="0"/>
          <c:showBubbleSize val="0"/>
        </c:dLbls>
        <c:marker val="1"/>
        <c:smooth val="0"/>
        <c:axId val="6134687"/>
        <c:axId val="6132287"/>
      </c:lineChart>
      <c:catAx>
        <c:axId val="613468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2287"/>
        <c:crosses val="autoZero"/>
        <c:auto val="1"/>
        <c:lblAlgn val="ctr"/>
        <c:lblOffset val="100"/>
        <c:noMultiLvlLbl val="0"/>
      </c:catAx>
      <c:valAx>
        <c:axId val="61322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4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Present</a:t>
            </a:r>
            <a:r>
              <a:rPr lang="en-US" baseline="0"/>
              <a:t> Value Breakdown </a:t>
            </a:r>
          </a:p>
          <a:p>
            <a:pPr>
              <a:defRPr/>
            </a:pPr>
            <a:r>
              <a:rPr lang="en-US" baseline="0"/>
              <a:t>Cash flows Vs Terminal Value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'DCF Valuation'!$A$4</c:f>
              <c:strCache>
                <c:ptCount val="1"/>
                <c:pt idx="0">
                  <c:v>PV of FCF</c:v>
                </c:pt>
              </c:strCache>
            </c:strRef>
          </c:tx>
          <c:spPr>
            <a:solidFill>
              <a:schemeClr val="accent1"/>
            </a:solidFill>
            <a:ln>
              <a:noFill/>
            </a:ln>
            <a:effectLst/>
          </c:spPr>
          <c:invertIfNegative val="0"/>
          <c:val>
            <c:numRef>
              <c:f>'DCF Valuation'!$B$4:$F$4</c:f>
              <c:numCache>
                <c:formatCode>General</c:formatCode>
                <c:ptCount val="5"/>
                <c:pt idx="0">
                  <c:v>4412980.8204739112</c:v>
                </c:pt>
                <c:pt idx="1">
                  <c:v>5250086.2616479816</c:v>
                </c:pt>
                <c:pt idx="2">
                  <c:v>6145661.6829322008</c:v>
                </c:pt>
                <c:pt idx="3">
                  <c:v>7194007.0388872782</c:v>
                </c:pt>
                <c:pt idx="4">
                  <c:v>8421182.2820137944</c:v>
                </c:pt>
              </c:numCache>
            </c:numRef>
          </c:val>
          <c:extLst>
            <c:ext xmlns:c16="http://schemas.microsoft.com/office/drawing/2014/chart" uri="{C3380CC4-5D6E-409C-BE32-E72D297353CC}">
              <c16:uniqueId val="{00000000-6C33-4927-BE5F-23466647750D}"/>
            </c:ext>
          </c:extLst>
        </c:ser>
        <c:ser>
          <c:idx val="1"/>
          <c:order val="1"/>
          <c:tx>
            <c:strRef>
              <c:f>'DCF Valuation'!$A$6</c:f>
              <c:strCache>
                <c:ptCount val="1"/>
                <c:pt idx="0">
                  <c:v>PV of Terminal Value</c:v>
                </c:pt>
              </c:strCache>
            </c:strRef>
          </c:tx>
          <c:spPr>
            <a:solidFill>
              <a:schemeClr val="accent2"/>
            </a:solidFill>
            <a:ln>
              <a:noFill/>
            </a:ln>
            <a:effectLst/>
          </c:spPr>
          <c:invertIfNegative val="0"/>
          <c:val>
            <c:numRef>
              <c:f>'DCF Valuation'!$B$6:$F$6</c:f>
              <c:numCache>
                <c:formatCode>General</c:formatCode>
                <c:ptCount val="5"/>
                <c:pt idx="4">
                  <c:v>66964901.629803352</c:v>
                </c:pt>
              </c:numCache>
            </c:numRef>
          </c:val>
          <c:extLst>
            <c:ext xmlns:c16="http://schemas.microsoft.com/office/drawing/2014/chart" uri="{C3380CC4-5D6E-409C-BE32-E72D297353CC}">
              <c16:uniqueId val="{00000001-6C33-4927-BE5F-23466647750D}"/>
            </c:ext>
          </c:extLst>
        </c:ser>
        <c:dLbls>
          <c:showLegendKey val="0"/>
          <c:showVal val="0"/>
          <c:showCatName val="0"/>
          <c:showSerName val="0"/>
          <c:showPercent val="0"/>
          <c:showBubbleSize val="0"/>
        </c:dLbls>
        <c:gapWidth val="219"/>
        <c:overlap val="-27"/>
        <c:axId val="1244569503"/>
        <c:axId val="1244570943"/>
      </c:barChart>
      <c:catAx>
        <c:axId val="124456950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570943"/>
        <c:crosses val="autoZero"/>
        <c:auto val="1"/>
        <c:lblAlgn val="ctr"/>
        <c:lblOffset val="100"/>
        <c:noMultiLvlLbl val="0"/>
      </c:catAx>
      <c:valAx>
        <c:axId val="1244570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5695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Tesla</a:t>
            </a:r>
            <a:r>
              <a:rPr lang="en-US" baseline="0"/>
              <a:t> Revenue Forecast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Forecast!$A$2</c:f>
              <c:strCache>
                <c:ptCount val="1"/>
                <c:pt idx="0">
                  <c:v>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Forecast!$B$2:$F$2</c:f>
              <c:numCache>
                <c:formatCode>General</c:formatCode>
                <c:ptCount val="5"/>
                <c:pt idx="0">
                  <c:v>130714639.03153133</c:v>
                </c:pt>
                <c:pt idx="1">
                  <c:v>176560785.10683283</c:v>
                </c:pt>
                <c:pt idx="2">
                  <c:v>238486760.69113728</c:v>
                </c:pt>
                <c:pt idx="3">
                  <c:v>322132318.28651798</c:v>
                </c:pt>
                <c:pt idx="4">
                  <c:v>435115266.70881915</c:v>
                </c:pt>
              </c:numCache>
            </c:numRef>
          </c:val>
          <c:smooth val="0"/>
          <c:extLst>
            <c:ext xmlns:c16="http://schemas.microsoft.com/office/drawing/2014/chart" uri="{C3380CC4-5D6E-409C-BE32-E72D297353CC}">
              <c16:uniqueId val="{00000000-16A0-41EF-B35C-62DF3CB24491}"/>
            </c:ext>
          </c:extLst>
        </c:ser>
        <c:dLbls>
          <c:dLblPos val="ctr"/>
          <c:showLegendKey val="0"/>
          <c:showVal val="1"/>
          <c:showCatName val="0"/>
          <c:showSerName val="0"/>
          <c:showPercent val="0"/>
          <c:showBubbleSize val="0"/>
        </c:dLbls>
        <c:marker val="1"/>
        <c:smooth val="0"/>
        <c:axId val="573104271"/>
        <c:axId val="573103791"/>
      </c:lineChart>
      <c:catAx>
        <c:axId val="57310427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103791"/>
        <c:crosses val="autoZero"/>
        <c:auto val="1"/>
        <c:lblAlgn val="ctr"/>
        <c:lblOffset val="100"/>
        <c:noMultiLvlLbl val="0"/>
      </c:catAx>
      <c:valAx>
        <c:axId val="573103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104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_xlchart.v1.1</cx:f>
      </cx:strDim>
      <cx:numDim type="val">
        <cx:f dir="row">_xlchart.v1.2</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Enterprise Value To Equity Value</a:t>
            </a:r>
          </a:p>
          <a:p>
            <a:pPr algn="ctr" rtl="0">
              <a:defRPr/>
            </a:pP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waterfall" uniqueId="{31B0C300-3A0E-4A59-B9A2-CDA89AD2F74F}">
          <cx:tx>
            <cx:txData>
              <cx:f>_xlchart.v1.0</cx:f>
              <cx:v>Value</cx:v>
            </cx:txData>
          </cx:tx>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15240</xdr:rowOff>
    </xdr:from>
    <xdr:to>
      <xdr:col>6</xdr:col>
      <xdr:colOff>0</xdr:colOff>
      <xdr:row>25</xdr:row>
      <xdr:rowOff>7620</xdr:rowOff>
    </xdr:to>
    <xdr:graphicFrame macro="">
      <xdr:nvGraphicFramePr>
        <xdr:cNvPr id="2" name="Chart 1">
          <a:extLst>
            <a:ext uri="{FF2B5EF4-FFF2-40B4-BE49-F238E27FC236}">
              <a16:creationId xmlns:a16="http://schemas.microsoft.com/office/drawing/2014/main" id="{CE2A6E62-3090-899C-D1E3-83F6C431CE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30480</xdr:colOff>
      <xdr:row>11</xdr:row>
      <xdr:rowOff>171450</xdr:rowOff>
    </xdr:from>
    <xdr:to>
      <xdr:col>5</xdr:col>
      <xdr:colOff>937260</xdr:colOff>
      <xdr:row>26</xdr:row>
      <xdr:rowOff>152400</xdr:rowOff>
    </xdr:to>
    <xdr:graphicFrame macro="">
      <xdr:nvGraphicFramePr>
        <xdr:cNvPr id="3" name="Chart 2">
          <a:extLst>
            <a:ext uri="{FF2B5EF4-FFF2-40B4-BE49-F238E27FC236}">
              <a16:creationId xmlns:a16="http://schemas.microsoft.com/office/drawing/2014/main" id="{4E60739C-2958-607B-31DC-98CF19C2AC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45358</xdr:colOff>
      <xdr:row>9</xdr:row>
      <xdr:rowOff>175078</xdr:rowOff>
    </xdr:from>
    <xdr:to>
      <xdr:col>6</xdr:col>
      <xdr:colOff>18143</xdr:colOff>
      <xdr:row>26</xdr:row>
      <xdr:rowOff>172357</xdr:rowOff>
    </xdr:to>
    <xdr:graphicFrame macro="">
      <xdr:nvGraphicFramePr>
        <xdr:cNvPr id="2" name="Chart 1">
          <a:extLst>
            <a:ext uri="{FF2B5EF4-FFF2-40B4-BE49-F238E27FC236}">
              <a16:creationId xmlns:a16="http://schemas.microsoft.com/office/drawing/2014/main" id="{F85ECB19-2178-111F-46E5-0B150CE364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4</xdr:row>
      <xdr:rowOff>179070</xdr:rowOff>
    </xdr:from>
    <xdr:to>
      <xdr:col>6</xdr:col>
      <xdr:colOff>60960</xdr:colOff>
      <xdr:row>21</xdr:row>
      <xdr:rowOff>175260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BF78F309-8F77-F318-EAA3-86360AC2E29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910590"/>
              <a:ext cx="5974080" cy="31051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FC8D0-83DB-434F-81FF-3F6498E6E6D5}">
  <dimension ref="A1:W16"/>
  <sheetViews>
    <sheetView topLeftCell="G1" zoomScale="81" workbookViewId="0">
      <selection activeCell="T27" sqref="T27"/>
    </sheetView>
  </sheetViews>
  <sheetFormatPr defaultRowHeight="14.4" x14ac:dyDescent="0.3"/>
  <cols>
    <col min="1" max="1" width="17.5546875" customWidth="1"/>
    <col min="2" max="2" width="12" customWidth="1"/>
    <col min="3" max="3" width="13.88671875" customWidth="1"/>
    <col min="4" max="4" width="12.77734375" customWidth="1"/>
    <col min="5" max="5" width="13.21875" customWidth="1"/>
    <col min="6" max="6" width="10.44140625" customWidth="1"/>
    <col min="7" max="7" width="13" customWidth="1"/>
    <col min="8" max="15" width="15.88671875" customWidth="1"/>
    <col min="16" max="16" width="11.5546875" customWidth="1"/>
    <col min="17" max="17" width="17.88671875" customWidth="1"/>
    <col min="18" max="18" width="15" customWidth="1"/>
    <col min="19" max="21" width="14.33203125" customWidth="1"/>
    <col min="22" max="22" width="15" customWidth="1"/>
    <col min="23" max="23" width="26.6640625" customWidth="1"/>
  </cols>
  <sheetData>
    <row r="1" spans="1:23" x14ac:dyDescent="0.3">
      <c r="A1" s="2" t="s">
        <v>0</v>
      </c>
      <c r="B1" s="2" t="s">
        <v>1</v>
      </c>
      <c r="C1" s="2" t="s">
        <v>6</v>
      </c>
      <c r="D1" s="2" t="s">
        <v>7</v>
      </c>
      <c r="E1" s="2" t="s">
        <v>4</v>
      </c>
      <c r="F1" s="2" t="s">
        <v>5</v>
      </c>
      <c r="G1" s="2" t="s">
        <v>40</v>
      </c>
      <c r="H1" s="2" t="s">
        <v>41</v>
      </c>
      <c r="I1" s="2" t="s">
        <v>42</v>
      </c>
      <c r="J1" s="13" t="s">
        <v>43</v>
      </c>
      <c r="K1" s="2" t="s">
        <v>44</v>
      </c>
      <c r="L1" s="2" t="s">
        <v>45</v>
      </c>
      <c r="M1" s="2" t="s">
        <v>46</v>
      </c>
      <c r="N1" s="2" t="s">
        <v>48</v>
      </c>
      <c r="O1" s="13" t="s">
        <v>47</v>
      </c>
      <c r="P1" s="2" t="s">
        <v>33</v>
      </c>
      <c r="Q1" s="2" t="s">
        <v>34</v>
      </c>
      <c r="R1" s="2" t="s">
        <v>58</v>
      </c>
      <c r="S1" s="2" t="s">
        <v>59</v>
      </c>
      <c r="T1" s="2" t="s">
        <v>61</v>
      </c>
      <c r="U1" s="2" t="s">
        <v>62</v>
      </c>
      <c r="V1" s="2" t="s">
        <v>60</v>
      </c>
      <c r="W1" s="2" t="s">
        <v>79</v>
      </c>
    </row>
    <row r="2" spans="1:23" x14ac:dyDescent="0.3">
      <c r="A2" s="2">
        <v>2021</v>
      </c>
      <c r="B2" s="1">
        <v>53823000</v>
      </c>
      <c r="C2" s="1">
        <v>40217000</v>
      </c>
      <c r="D2" s="1">
        <v>7110000</v>
      </c>
      <c r="E2" s="1">
        <v>2911000</v>
      </c>
      <c r="F2" s="1">
        <v>8014000</v>
      </c>
      <c r="G2" s="1"/>
      <c r="H2" s="1"/>
      <c r="I2" s="32"/>
      <c r="J2" s="32"/>
      <c r="K2" s="32"/>
      <c r="L2" s="32"/>
      <c r="M2" s="32"/>
      <c r="N2" s="32"/>
      <c r="O2" s="32"/>
      <c r="P2" s="33"/>
      <c r="Q2" s="33"/>
      <c r="R2" s="33"/>
      <c r="S2" s="33"/>
      <c r="T2" s="33"/>
      <c r="U2" s="33"/>
      <c r="V2" s="33"/>
      <c r="W2" s="33"/>
    </row>
    <row r="3" spans="1:23" x14ac:dyDescent="0.3">
      <c r="A3" s="2">
        <v>2022</v>
      </c>
      <c r="B3" s="1">
        <v>81462000</v>
      </c>
      <c r="C3" s="1">
        <v>60609000</v>
      </c>
      <c r="D3" s="1">
        <v>7021000</v>
      </c>
      <c r="E3" s="1">
        <v>3747000</v>
      </c>
      <c r="F3" s="1">
        <v>7172000</v>
      </c>
      <c r="G3" s="1"/>
      <c r="H3" s="1"/>
      <c r="I3" s="32"/>
      <c r="J3" s="32"/>
      <c r="K3" s="32"/>
      <c r="L3" s="32"/>
      <c r="M3" s="32"/>
      <c r="N3" s="32"/>
      <c r="O3" s="32"/>
      <c r="P3" s="33"/>
      <c r="Q3" s="33"/>
      <c r="R3" s="33"/>
      <c r="S3" s="33"/>
      <c r="T3" s="33"/>
      <c r="U3" s="33"/>
      <c r="V3" s="33"/>
      <c r="W3" s="33"/>
    </row>
    <row r="4" spans="1:23" x14ac:dyDescent="0.3">
      <c r="A4" s="2">
        <v>2023</v>
      </c>
      <c r="B4" s="1">
        <v>96773000</v>
      </c>
      <c r="C4" s="1">
        <v>79113000</v>
      </c>
      <c r="D4" s="1">
        <v>8769000</v>
      </c>
      <c r="E4" s="1">
        <v>4667000</v>
      </c>
      <c r="F4" s="1">
        <v>8899000</v>
      </c>
      <c r="G4" s="1">
        <v>3508000</v>
      </c>
      <c r="H4" s="6">
        <v>13626000</v>
      </c>
      <c r="I4" s="6">
        <v>3388000</v>
      </c>
      <c r="J4" s="11">
        <f>SUM(G4+H4+I4)</f>
        <v>20522000</v>
      </c>
      <c r="K4" s="1">
        <v>14431000</v>
      </c>
      <c r="L4" s="1">
        <v>4046000</v>
      </c>
      <c r="M4" s="1">
        <v>1765000</v>
      </c>
      <c r="N4" s="1">
        <v>517000</v>
      </c>
      <c r="O4" s="12">
        <f>SUM(K4:N4)</f>
        <v>20759000</v>
      </c>
      <c r="P4" s="6">
        <v>-5001000</v>
      </c>
      <c r="Q4" s="6">
        <v>9973000</v>
      </c>
      <c r="R4">
        <v>1975000</v>
      </c>
      <c r="S4">
        <v>2682000</v>
      </c>
      <c r="T4">
        <v>1070000</v>
      </c>
      <c r="U4">
        <v>3846000</v>
      </c>
      <c r="V4">
        <v>156000</v>
      </c>
      <c r="W4" s="1">
        <v>29094000</v>
      </c>
    </row>
    <row r="6" spans="1:23" x14ac:dyDescent="0.3">
      <c r="A6" s="2" t="s">
        <v>8</v>
      </c>
      <c r="B6" s="4">
        <f>C4/B4</f>
        <v>0.81751108263668582</v>
      </c>
    </row>
    <row r="7" spans="1:23" x14ac:dyDescent="0.3">
      <c r="A7" s="2" t="s">
        <v>9</v>
      </c>
      <c r="B7" s="4">
        <f>D4/B4</f>
        <v>9.0614117574116748E-2</v>
      </c>
    </row>
    <row r="8" spans="1:23" x14ac:dyDescent="0.3">
      <c r="A8" s="2" t="s">
        <v>10</v>
      </c>
      <c r="B8" s="4">
        <f>E4/B4</f>
        <v>4.822626145722464E-2</v>
      </c>
    </row>
    <row r="9" spans="1:23" x14ac:dyDescent="0.3">
      <c r="A9" s="2" t="s">
        <v>11</v>
      </c>
      <c r="B9" s="4">
        <f>F4/B4</f>
        <v>9.1957467475432195E-2</v>
      </c>
    </row>
    <row r="10" spans="1:23" x14ac:dyDescent="0.3">
      <c r="A10" s="2" t="s">
        <v>49</v>
      </c>
      <c r="B10" s="1">
        <f>J4-O4</f>
        <v>-237000</v>
      </c>
    </row>
    <row r="11" spans="1:23" x14ac:dyDescent="0.3">
      <c r="A11" s="2" t="s">
        <v>13</v>
      </c>
      <c r="B11" s="14">
        <f>B10/B4</f>
        <v>-2.4490302047058582E-3</v>
      </c>
    </row>
    <row r="12" spans="1:23" x14ac:dyDescent="0.3">
      <c r="A12" s="2" t="s">
        <v>14</v>
      </c>
      <c r="B12" s="4">
        <f>(B4-B3)/B3</f>
        <v>0.18795266504627925</v>
      </c>
    </row>
    <row r="13" spans="1:23" x14ac:dyDescent="0.3">
      <c r="A13" s="2" t="s">
        <v>15</v>
      </c>
      <c r="B13" s="4">
        <f>(B3-B2)/B2</f>
        <v>0.51351652639206291</v>
      </c>
    </row>
    <row r="14" spans="1:23" x14ac:dyDescent="0.3">
      <c r="A14" s="2" t="s">
        <v>16</v>
      </c>
      <c r="B14" s="4">
        <f>AVERAGE(B12:B13)</f>
        <v>0.35073459571917109</v>
      </c>
    </row>
    <row r="15" spans="1:23" x14ac:dyDescent="0.3">
      <c r="A15" s="2" t="s">
        <v>35</v>
      </c>
      <c r="B15" s="9">
        <v>0.1</v>
      </c>
    </row>
    <row r="16" spans="1:23" x14ac:dyDescent="0.3">
      <c r="B16" s="7"/>
    </row>
  </sheetData>
  <mergeCells count="9">
    <mergeCell ref="W2:W3"/>
    <mergeCell ref="P2:P3"/>
    <mergeCell ref="Q2:Q3"/>
    <mergeCell ref="I2:K3"/>
    <mergeCell ref="L2:N3"/>
    <mergeCell ref="O2:O3"/>
    <mergeCell ref="R2:S3"/>
    <mergeCell ref="V2:V3"/>
    <mergeCell ref="T2:U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C1F4-830C-4027-B915-D3A9A6CC6058}">
  <dimension ref="A1:F10"/>
  <sheetViews>
    <sheetView workbookViewId="0">
      <selection activeCell="B7" sqref="B7"/>
    </sheetView>
  </sheetViews>
  <sheetFormatPr defaultRowHeight="14.4" x14ac:dyDescent="0.3"/>
  <cols>
    <col min="1" max="1" width="18" customWidth="1"/>
    <col min="2" max="2" width="10.109375" bestFit="1" customWidth="1"/>
  </cols>
  <sheetData>
    <row r="1" spans="1:6" x14ac:dyDescent="0.3">
      <c r="A1" s="34" t="s">
        <v>31</v>
      </c>
      <c r="B1" s="34"/>
      <c r="C1" s="34"/>
      <c r="D1" s="34"/>
      <c r="E1" s="34"/>
      <c r="F1" s="34"/>
    </row>
    <row r="2" spans="1:6" x14ac:dyDescent="0.3">
      <c r="A2" s="2" t="s">
        <v>17</v>
      </c>
      <c r="B2" s="1">
        <f>Hist!B4</f>
        <v>96773000</v>
      </c>
    </row>
    <row r="3" spans="1:6" x14ac:dyDescent="0.3">
      <c r="A3" s="2" t="s">
        <v>18</v>
      </c>
      <c r="B3" s="5">
        <f>Hist!B6</f>
        <v>0.81751108263668582</v>
      </c>
    </row>
    <row r="4" spans="1:6" x14ac:dyDescent="0.3">
      <c r="A4" s="2" t="s">
        <v>19</v>
      </c>
      <c r="B4" s="5">
        <f>Hist!B7</f>
        <v>9.0614117574116748E-2</v>
      </c>
    </row>
    <row r="5" spans="1:6" x14ac:dyDescent="0.3">
      <c r="A5" s="2" t="s">
        <v>20</v>
      </c>
      <c r="B5" s="5">
        <f>Hist!B8</f>
        <v>4.822626145722464E-2</v>
      </c>
    </row>
    <row r="6" spans="1:6" x14ac:dyDescent="0.3">
      <c r="A6" s="2" t="s">
        <v>21</v>
      </c>
      <c r="B6" s="5">
        <f>Hist!B9</f>
        <v>9.1957467475432195E-2</v>
      </c>
    </row>
    <row r="7" spans="1:6" x14ac:dyDescent="0.3">
      <c r="A7" s="2" t="s">
        <v>50</v>
      </c>
      <c r="B7" s="15">
        <f>Hist!B11</f>
        <v>-2.4490302047058582E-3</v>
      </c>
    </row>
    <row r="8" spans="1:6" x14ac:dyDescent="0.3">
      <c r="A8" s="2" t="s">
        <v>16</v>
      </c>
      <c r="B8" s="5">
        <f>Hist!B14</f>
        <v>0.35073459571917109</v>
      </c>
    </row>
    <row r="9" spans="1:6" x14ac:dyDescent="0.3">
      <c r="A9" s="2" t="s">
        <v>32</v>
      </c>
      <c r="B9" s="5">
        <f>Hist!B15</f>
        <v>0.1</v>
      </c>
    </row>
    <row r="10" spans="1:6" x14ac:dyDescent="0.3">
      <c r="A10" s="2" t="s">
        <v>77</v>
      </c>
      <c r="B10" s="21">
        <v>2.5000000000000001E-2</v>
      </c>
    </row>
  </sheetData>
  <mergeCells count="1">
    <mergeCell ref="A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5670C-B93C-4C5F-A7D0-AEBE37EEB2E9}">
  <dimension ref="A1:G9"/>
  <sheetViews>
    <sheetView workbookViewId="0">
      <selection activeCell="H6" sqref="H6"/>
    </sheetView>
  </sheetViews>
  <sheetFormatPr defaultRowHeight="14.4" x14ac:dyDescent="0.3"/>
  <cols>
    <col min="1" max="1" width="12.5546875" customWidth="1"/>
    <col min="2" max="2" width="11.5546875" bestFit="1" customWidth="1"/>
    <col min="3" max="3" width="11.33203125" customWidth="1"/>
    <col min="4" max="4" width="11.5546875" customWidth="1"/>
    <col min="5" max="5" width="11.44140625" customWidth="1"/>
    <col min="6" max="6" width="12.5546875" customWidth="1"/>
  </cols>
  <sheetData>
    <row r="1" spans="1:7" x14ac:dyDescent="0.3">
      <c r="A1" s="30" t="s">
        <v>51</v>
      </c>
      <c r="B1" s="30" t="s">
        <v>26</v>
      </c>
      <c r="C1" s="30" t="s">
        <v>27</v>
      </c>
      <c r="D1" s="30" t="s">
        <v>36</v>
      </c>
      <c r="E1" s="30" t="s">
        <v>29</v>
      </c>
      <c r="F1" s="30" t="s">
        <v>30</v>
      </c>
    </row>
    <row r="2" spans="1:7" x14ac:dyDescent="0.3">
      <c r="A2" s="30" t="s">
        <v>25</v>
      </c>
      <c r="B2" s="10">
        <f>Forecast!B8</f>
        <v>10808443.161485242</v>
      </c>
      <c r="C2" s="10">
        <f>Forecast!C8</f>
        <v>14599338.1040824</v>
      </c>
      <c r="D2" s="10">
        <f>Forecast!D8</f>
        <v>19719831.051785238</v>
      </c>
      <c r="E2" s="10">
        <f>Forecast!E8</f>
        <v>26636258.023383483</v>
      </c>
      <c r="F2" s="10">
        <f>Forecast!F8</f>
        <v>35978515.212686405</v>
      </c>
      <c r="G2" s="10"/>
    </row>
    <row r="3" spans="1:7" x14ac:dyDescent="0.3">
      <c r="A3" s="30" t="s">
        <v>4</v>
      </c>
      <c r="B3">
        <f>Forecast!B2*Assumptions!B5</f>
        <v>6303878.3582213707</v>
      </c>
      <c r="C3">
        <f>Forecast!C2*Assumptions!B5</f>
        <v>8514866.585654974</v>
      </c>
      <c r="D3">
        <f>Forecast!D2*Assumptions!B5</f>
        <v>11501324.87517735</v>
      </c>
      <c r="E3">
        <f>Forecast!E2*Assumptions!B5</f>
        <v>15535237.405507522</v>
      </c>
      <c r="F3">
        <f>Forecast!F2*Assumptions!B5</f>
        <v>20983982.616329543</v>
      </c>
    </row>
    <row r="4" spans="1:7" x14ac:dyDescent="0.3">
      <c r="A4" s="30" t="s">
        <v>37</v>
      </c>
      <c r="B4">
        <f>Forecast!B2*Assumptions!B6</f>
        <v>12020187.167304901</v>
      </c>
      <c r="C4">
        <f>Forecast!C2*Assumptions!B6</f>
        <v>16236082.653898353</v>
      </c>
      <c r="D4">
        <f>Forecast!D2*Assumptions!B6</f>
        <v>21930638.539576437</v>
      </c>
      <c r="E4">
        <f>Forecast!E2*Assumptions!B6</f>
        <v>29622472.18161805</v>
      </c>
      <c r="F4">
        <f>Forecast!F2*Assumptions!B6</f>
        <v>40012097.986440241</v>
      </c>
    </row>
    <row r="5" spans="1:7" x14ac:dyDescent="0.3">
      <c r="A5" s="30" t="s">
        <v>12</v>
      </c>
      <c r="B5">
        <f>Forecast!B2*Assumptions!B7</f>
        <v>-320124.09918544354</v>
      </c>
      <c r="C5">
        <f>Forecast!C2*Assumptions!B7</f>
        <v>-432402.69569321384</v>
      </c>
      <c r="D5">
        <f>Forecast!D2*Assumptions!B7</f>
        <v>-584061.28035505291</v>
      </c>
      <c r="E5">
        <f>Forecast!E2*Assumptions!B7</f>
        <v>-788911.77739560383</v>
      </c>
      <c r="F5">
        <f>Forecast!F2*Assumptions!B7</f>
        <v>-1065610.4306985436</v>
      </c>
    </row>
    <row r="6" spans="1:7" x14ac:dyDescent="0.3">
      <c r="A6" s="30" t="s">
        <v>38</v>
      </c>
      <c r="B6">
        <v>0</v>
      </c>
      <c r="C6">
        <f>C5-B5</f>
        <v>-112278.5965077703</v>
      </c>
      <c r="D6">
        <f>D5-C5</f>
        <v>-151658.58466183906</v>
      </c>
      <c r="E6">
        <f>E5-D5</f>
        <v>-204850.49704055092</v>
      </c>
      <c r="F6">
        <f>F5-E5</f>
        <v>-276698.65330293973</v>
      </c>
    </row>
    <row r="7" spans="1:7" x14ac:dyDescent="0.3">
      <c r="A7" s="30" t="s">
        <v>39</v>
      </c>
      <c r="B7" s="10">
        <f>B2+B3-B4-B6</f>
        <v>5092134.3524017129</v>
      </c>
      <c r="C7" s="10">
        <f>C2+C3-C4-C6</f>
        <v>6990400.6323467894</v>
      </c>
      <c r="D7" s="10">
        <f>D2+D3-D4-D6</f>
        <v>9442175.9720479902</v>
      </c>
      <c r="E7" s="10">
        <f>E2+E3-E4-E6</f>
        <v>12753873.744313505</v>
      </c>
      <c r="F7" s="10">
        <f>F2+F3-F4-F6</f>
        <v>17227098.495878648</v>
      </c>
    </row>
    <row r="8" spans="1:7" x14ac:dyDescent="0.3">
      <c r="A8" s="33"/>
      <c r="B8" s="33"/>
      <c r="C8" s="33"/>
      <c r="D8" s="33"/>
      <c r="E8" s="33"/>
      <c r="F8" s="33"/>
    </row>
    <row r="9" spans="1:7" x14ac:dyDescent="0.3">
      <c r="A9" s="33"/>
      <c r="B9" s="33"/>
      <c r="C9" s="33"/>
      <c r="D9" s="33"/>
      <c r="E9" s="33"/>
      <c r="F9" s="33"/>
    </row>
  </sheetData>
  <mergeCells count="1">
    <mergeCell ref="A8:F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B7154-CDFC-4682-B8DC-EB67C753157C}">
  <dimension ref="A1:G12"/>
  <sheetViews>
    <sheetView zoomScale="73" zoomScaleNormal="100" workbookViewId="0">
      <selection activeCell="J15" sqref="J15"/>
    </sheetView>
  </sheetViews>
  <sheetFormatPr defaultRowHeight="14.4" x14ac:dyDescent="0.3"/>
  <cols>
    <col min="1" max="1" width="20.77734375" customWidth="1"/>
    <col min="2" max="2" width="20.33203125" customWidth="1"/>
    <col min="3" max="3" width="12.5546875" customWidth="1"/>
    <col min="4" max="4" width="14.21875" customWidth="1"/>
    <col min="5" max="5" width="13.88671875" customWidth="1"/>
    <col min="6" max="6" width="13.77734375" customWidth="1"/>
    <col min="7" max="7" width="14.5546875" customWidth="1"/>
  </cols>
  <sheetData>
    <row r="1" spans="1:7" x14ac:dyDescent="0.3">
      <c r="A1" s="3"/>
      <c r="B1" s="3" t="s">
        <v>26</v>
      </c>
      <c r="C1" s="3" t="s">
        <v>27</v>
      </c>
      <c r="D1" s="3" t="s">
        <v>76</v>
      </c>
      <c r="E1" s="3" t="s">
        <v>29</v>
      </c>
      <c r="F1" s="3" t="s">
        <v>30</v>
      </c>
    </row>
    <row r="2" spans="1:7" x14ac:dyDescent="0.3">
      <c r="A2" s="3" t="s">
        <v>73</v>
      </c>
      <c r="B2" s="10">
        <f>FCF!B7</f>
        <v>5092134.3524017129</v>
      </c>
      <c r="C2" s="10">
        <f>FCF!C7</f>
        <v>6990400.6323467894</v>
      </c>
      <c r="D2" s="10">
        <f>FCF!D7</f>
        <v>9442175.9720479902</v>
      </c>
      <c r="E2" s="10">
        <f>FCF!E7</f>
        <v>12753873.744313505</v>
      </c>
      <c r="F2" s="10">
        <f>FCF!F7</f>
        <v>17227098.495878648</v>
      </c>
    </row>
    <row r="3" spans="1:7" x14ac:dyDescent="0.3">
      <c r="A3" s="3" t="s">
        <v>74</v>
      </c>
      <c r="B3" s="20">
        <f>1/(1+DCF!B11)^1</f>
        <v>0.86662694168556687</v>
      </c>
      <c r="C3" s="20">
        <f>1/(1+DCF!B11)^2</f>
        <v>0.75104225605527897</v>
      </c>
      <c r="D3" s="20">
        <f>1/(1+DCF!B11)^3</f>
        <v>0.65087345344181491</v>
      </c>
      <c r="E3" s="20">
        <f>1/(1+DCF!B11)^4</f>
        <v>0.56406447038060326</v>
      </c>
      <c r="F3" s="20">
        <f>1/(1+DCF!B11)^5</f>
        <v>0.48883346687943124</v>
      </c>
    </row>
    <row r="4" spans="1:7" x14ac:dyDescent="0.3">
      <c r="A4" s="3" t="s">
        <v>75</v>
      </c>
      <c r="B4">
        <f>B2*B3</f>
        <v>4412980.8204739112</v>
      </c>
      <c r="C4">
        <f>C2*C3</f>
        <v>5250086.2616479816</v>
      </c>
      <c r="D4">
        <f>D2*D3</f>
        <v>6145661.6829322008</v>
      </c>
      <c r="E4">
        <f>E2*E3</f>
        <v>7194007.0388872782</v>
      </c>
      <c r="F4">
        <f>F2*F3</f>
        <v>8421182.2820137944</v>
      </c>
    </row>
    <row r="5" spans="1:7" x14ac:dyDescent="0.3">
      <c r="A5" s="3" t="s">
        <v>82</v>
      </c>
      <c r="B5" s="33"/>
      <c r="C5" s="33"/>
      <c r="D5" s="33"/>
      <c r="E5" s="33"/>
      <c r="F5">
        <f>(FCF!F7 * (1 + Assumptions!B10)) / (DCF!B11 - Assumptions!B10)</f>
        <v>136989191.95792291</v>
      </c>
    </row>
    <row r="6" spans="1:7" x14ac:dyDescent="0.3">
      <c r="A6" s="3" t="s">
        <v>83</v>
      </c>
      <c r="B6" s="33"/>
      <c r="C6" s="33"/>
      <c r="D6" s="33"/>
      <c r="E6" s="33"/>
      <c r="F6">
        <f>'DCF Valuation'!F5*'DCF Valuation'!F3</f>
        <v>66964901.629803352</v>
      </c>
    </row>
    <row r="7" spans="1:7" x14ac:dyDescent="0.3">
      <c r="A7" s="3" t="s">
        <v>78</v>
      </c>
      <c r="B7" s="35">
        <f>SUM(B4:F4)</f>
        <v>31423918.085955165</v>
      </c>
      <c r="C7" s="35"/>
      <c r="D7" s="35"/>
      <c r="E7" s="35"/>
      <c r="F7" s="35"/>
      <c r="G7" s="35"/>
    </row>
    <row r="8" spans="1:7" x14ac:dyDescent="0.3">
      <c r="A8" s="3" t="s">
        <v>81</v>
      </c>
      <c r="B8" s="35">
        <f>B7+F6</f>
        <v>98388819.715758517</v>
      </c>
      <c r="C8" s="35"/>
      <c r="D8" s="35"/>
      <c r="E8" s="35"/>
      <c r="F8" s="35"/>
      <c r="G8" s="35"/>
    </row>
    <row r="9" spans="1:7" x14ac:dyDescent="0.3">
      <c r="A9" s="3" t="s">
        <v>80</v>
      </c>
      <c r="B9" s="36">
        <f>B8+Hist!W4-DCF!E2</f>
        <v>117909819.71575852</v>
      </c>
      <c r="C9" s="36"/>
      <c r="D9" s="36"/>
      <c r="E9" s="36"/>
      <c r="F9" s="36"/>
      <c r="G9" s="36"/>
    </row>
    <row r="10" spans="1:7" x14ac:dyDescent="0.3">
      <c r="A10" s="3" t="s">
        <v>84</v>
      </c>
      <c r="B10" s="35">
        <f>B9/DCF!G2</f>
        <v>3.540835426899655E-2</v>
      </c>
      <c r="C10" s="35"/>
      <c r="D10" s="35"/>
      <c r="E10" s="35"/>
      <c r="F10" s="35"/>
      <c r="G10" s="35"/>
    </row>
    <row r="11" spans="1:7" x14ac:dyDescent="0.3">
      <c r="A11" s="33"/>
      <c r="B11" s="33"/>
      <c r="C11" s="33"/>
      <c r="D11" s="33"/>
      <c r="E11" s="33"/>
      <c r="F11" s="33"/>
      <c r="G11" s="33"/>
    </row>
    <row r="12" spans="1:7" x14ac:dyDescent="0.3">
      <c r="A12" s="33"/>
      <c r="B12" s="33"/>
      <c r="C12" s="33"/>
      <c r="D12" s="33"/>
      <c r="E12" s="33"/>
      <c r="F12" s="33"/>
      <c r="G12" s="33"/>
    </row>
  </sheetData>
  <mergeCells count="7">
    <mergeCell ref="A11:G12"/>
    <mergeCell ref="B7:G7"/>
    <mergeCell ref="B5:E5"/>
    <mergeCell ref="B8:G8"/>
    <mergeCell ref="B9:G9"/>
    <mergeCell ref="B10:G10"/>
    <mergeCell ref="B6:E6"/>
  </mergeCells>
  <phoneticPr fontId="5"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CE166-EEBB-42EA-AD99-37A07B464763}">
  <dimension ref="A1:F10"/>
  <sheetViews>
    <sheetView zoomScale="84" workbookViewId="0">
      <selection activeCell="C5" sqref="C5"/>
    </sheetView>
  </sheetViews>
  <sheetFormatPr defaultRowHeight="14.4" x14ac:dyDescent="0.3"/>
  <cols>
    <col min="1" max="1" width="10" customWidth="1"/>
    <col min="2" max="2" width="15.44140625" customWidth="1"/>
    <col min="3" max="3" width="13.109375" customWidth="1"/>
    <col min="4" max="4" width="10.88671875" customWidth="1"/>
    <col min="5" max="6" width="12" customWidth="1"/>
  </cols>
  <sheetData>
    <row r="1" spans="1:6" x14ac:dyDescent="0.3">
      <c r="A1" s="2"/>
      <c r="B1" s="2" t="s">
        <v>26</v>
      </c>
      <c r="C1" s="2" t="s">
        <v>27</v>
      </c>
      <c r="D1" s="2" t="s">
        <v>28</v>
      </c>
      <c r="E1" s="2" t="s">
        <v>29</v>
      </c>
      <c r="F1" s="2" t="s">
        <v>30</v>
      </c>
    </row>
    <row r="2" spans="1:6" x14ac:dyDescent="0.3">
      <c r="A2" s="2" t="s">
        <v>1</v>
      </c>
      <c r="B2">
        <f>Assumptions!B2*(1+Assumptions!B8)</f>
        <v>130714639.03153133</v>
      </c>
      <c r="C2">
        <f>B2*(1+Assumptions!B8)</f>
        <v>176560785.10683283</v>
      </c>
      <c r="D2">
        <f>C2*(1+Assumptions!B8)</f>
        <v>238486760.69113728</v>
      </c>
      <c r="E2">
        <f>D2*(1+Assumptions!B8)</f>
        <v>322132318.28651798</v>
      </c>
      <c r="F2">
        <f>E2*(1+Assumptions!B8)</f>
        <v>435115266.70881915</v>
      </c>
    </row>
    <row r="3" spans="1:6" x14ac:dyDescent="0.3">
      <c r="A3" s="2" t="s">
        <v>2</v>
      </c>
      <c r="B3">
        <f>B2*Assumptions!B3</f>
        <v>106860666.07113077</v>
      </c>
      <c r="C3">
        <f>C2*Assumptions!B3</f>
        <v>144340398.58387014</v>
      </c>
      <c r="D3">
        <f>D2*Assumptions!B3</f>
        <v>194965569.92712784</v>
      </c>
      <c r="E3">
        <f>E2*Assumptions!B3</f>
        <v>263346740.27467677</v>
      </c>
      <c r="F3">
        <f>F2*Assumptions!B3</f>
        <v>355711552.75887704</v>
      </c>
    </row>
    <row r="4" spans="1:6" x14ac:dyDescent="0.3">
      <c r="A4" s="2" t="s">
        <v>22</v>
      </c>
      <c r="B4">
        <f>B2-B3</f>
        <v>23853972.960400566</v>
      </c>
      <c r="C4">
        <f t="shared" ref="C4:F4" si="0">C2-C3</f>
        <v>32220386.522962689</v>
      </c>
      <c r="D4">
        <f t="shared" si="0"/>
        <v>43521190.764009446</v>
      </c>
      <c r="E4">
        <f t="shared" si="0"/>
        <v>58785578.011841208</v>
      </c>
      <c r="F4">
        <f t="shared" si="0"/>
        <v>79403713.949942112</v>
      </c>
    </row>
    <row r="5" spans="1:6" x14ac:dyDescent="0.3">
      <c r="A5" s="2" t="s">
        <v>3</v>
      </c>
      <c r="B5">
        <f>B2*Assumptions!B4</f>
        <v>11844591.66986141</v>
      </c>
      <c r="C5">
        <f>C2*Assumptions!B4</f>
        <v>15998899.740648912</v>
      </c>
      <c r="D5">
        <f>D2*Assumptions!B4</f>
        <v>21610267.37313696</v>
      </c>
      <c r="E5">
        <f>E2*Assumptions!B4</f>
        <v>29189735.763637338</v>
      </c>
      <c r="F5">
        <f>F2*Assumptions!B4</f>
        <v>39427585.935846105</v>
      </c>
    </row>
    <row r="6" spans="1:6" x14ac:dyDescent="0.3">
      <c r="A6" s="2" t="s">
        <v>23</v>
      </c>
      <c r="B6">
        <f>B4-B5</f>
        <v>12009381.290539157</v>
      </c>
      <c r="C6">
        <f>C4-C5</f>
        <v>16221486.782313777</v>
      </c>
      <c r="D6">
        <f>D4-D5</f>
        <v>21910923.390872486</v>
      </c>
      <c r="E6">
        <f>E4-E5</f>
        <v>29595842.24820387</v>
      </c>
      <c r="F6">
        <f>F4-F5</f>
        <v>39976128.014096007</v>
      </c>
    </row>
    <row r="7" spans="1:6" x14ac:dyDescent="0.3">
      <c r="A7" s="2" t="s">
        <v>24</v>
      </c>
      <c r="B7" s="8">
        <f>B6*Assumptions!B9</f>
        <v>1200938.1290539156</v>
      </c>
      <c r="C7">
        <f>C6*Assumptions!B9</f>
        <v>1622148.6782313779</v>
      </c>
      <c r="D7">
        <f>D6*Assumptions!B9</f>
        <v>2191092.3390872488</v>
      </c>
      <c r="E7">
        <f>E6*Assumptions!B9</f>
        <v>2959584.2248203871</v>
      </c>
      <c r="F7">
        <f>F6*Assumptions!B9</f>
        <v>3997612.8014096008</v>
      </c>
    </row>
    <row r="8" spans="1:6" x14ac:dyDescent="0.3">
      <c r="A8" s="2" t="s">
        <v>25</v>
      </c>
      <c r="B8" s="10">
        <f>B6-B7</f>
        <v>10808443.161485242</v>
      </c>
      <c r="C8">
        <f>C6-C7</f>
        <v>14599338.1040824</v>
      </c>
      <c r="D8">
        <f>D6-D7</f>
        <v>19719831.051785238</v>
      </c>
      <c r="E8">
        <f>E6-E7</f>
        <v>26636258.023383483</v>
      </c>
      <c r="F8">
        <f>F6-F7</f>
        <v>35978515.212686405</v>
      </c>
    </row>
    <row r="9" spans="1:6" x14ac:dyDescent="0.3">
      <c r="A9" s="33"/>
      <c r="B9" s="33"/>
      <c r="C9" s="33"/>
      <c r="D9" s="33"/>
      <c r="E9" s="33"/>
      <c r="F9" s="33"/>
    </row>
    <row r="10" spans="1:6" x14ac:dyDescent="0.3">
      <c r="A10" s="33"/>
      <c r="B10" s="33"/>
      <c r="C10" s="33"/>
      <c r="D10" s="33"/>
      <c r="E10" s="33"/>
      <c r="F10" s="33"/>
    </row>
  </sheetData>
  <mergeCells count="1">
    <mergeCell ref="A9:F10"/>
  </mergeCells>
  <pageMargins left="0.7" right="0.7" top="0.75" bottom="0.75" header="0.3" footer="0.3"/>
  <ignoredErrors>
    <ignoredError sqref="D5:F5 B5:C5 B7:F7" formula="1"/>
  </ignoredError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339CA-5964-4E88-B579-DCAEAA7C06A7}">
  <dimension ref="A1:H12"/>
  <sheetViews>
    <sheetView zoomScale="70" workbookViewId="0">
      <selection activeCell="G8" sqref="G8"/>
    </sheetView>
  </sheetViews>
  <sheetFormatPr defaultRowHeight="14.4" x14ac:dyDescent="0.3"/>
  <cols>
    <col min="1" max="1" width="15.21875" customWidth="1"/>
    <col min="2" max="2" width="28.77734375" customWidth="1"/>
    <col min="4" max="4" width="22.21875" customWidth="1"/>
    <col min="6" max="6" width="12.21875" customWidth="1"/>
    <col min="7" max="7" width="18" customWidth="1"/>
    <col min="8" max="8" width="11" customWidth="1"/>
  </cols>
  <sheetData>
    <row r="1" spans="1:8" x14ac:dyDescent="0.3">
      <c r="A1" s="31" t="s">
        <v>53</v>
      </c>
      <c r="B1" s="31" t="s">
        <v>54</v>
      </c>
      <c r="C1" s="31" t="s">
        <v>52</v>
      </c>
      <c r="D1" s="31" t="s">
        <v>56</v>
      </c>
      <c r="E1" s="31" t="s">
        <v>57</v>
      </c>
      <c r="F1" s="31" t="s">
        <v>64</v>
      </c>
      <c r="G1" s="31" t="s">
        <v>67</v>
      </c>
      <c r="H1" s="31" t="s">
        <v>68</v>
      </c>
    </row>
    <row r="2" spans="1:8" x14ac:dyDescent="0.3">
      <c r="A2" s="16">
        <v>4.4999999999999998E-2</v>
      </c>
      <c r="B2" s="17">
        <v>5.5E-2</v>
      </c>
      <c r="C2">
        <v>1.98</v>
      </c>
      <c r="D2">
        <f>Hist!V4</f>
        <v>156000</v>
      </c>
      <c r="E2">
        <f>Hist!R4+Hist!S4+Hist!T4+Hist!U4</f>
        <v>9573000</v>
      </c>
      <c r="F2" s="5">
        <f>Assumptions!B9</f>
        <v>0.1</v>
      </c>
      <c r="G2" s="1">
        <v>3330000000</v>
      </c>
      <c r="H2">
        <v>418.93</v>
      </c>
    </row>
    <row r="4" spans="1:8" x14ac:dyDescent="0.3">
      <c r="A4" s="31" t="s">
        <v>55</v>
      </c>
      <c r="B4" s="17">
        <f>A2+C2*B2</f>
        <v>0.15389999999999998</v>
      </c>
    </row>
    <row r="5" spans="1:8" x14ac:dyDescent="0.3">
      <c r="A5" s="31" t="s">
        <v>63</v>
      </c>
      <c r="B5" s="16">
        <f>D2/E2</f>
        <v>1.6295832027577561E-2</v>
      </c>
    </row>
    <row r="6" spans="1:8" x14ac:dyDescent="0.3">
      <c r="A6" s="31" t="s">
        <v>65</v>
      </c>
      <c r="B6" s="17">
        <f>B5*(1-F2)</f>
        <v>1.4666248824819806E-2</v>
      </c>
    </row>
    <row r="7" spans="1:8" x14ac:dyDescent="0.3">
      <c r="A7" s="31" t="s">
        <v>69</v>
      </c>
      <c r="B7" s="18">
        <f>G2*H2</f>
        <v>1395036900000</v>
      </c>
    </row>
    <row r="8" spans="1:8" x14ac:dyDescent="0.3">
      <c r="A8" s="31" t="s">
        <v>70</v>
      </c>
      <c r="B8" s="18">
        <f>B7+E2</f>
        <v>1395046473000</v>
      </c>
    </row>
    <row r="9" spans="1:8" x14ac:dyDescent="0.3">
      <c r="A9" s="31" t="s">
        <v>71</v>
      </c>
      <c r="B9">
        <f>B7/B8</f>
        <v>0.99999313786301369</v>
      </c>
    </row>
    <row r="10" spans="1:8" x14ac:dyDescent="0.3">
      <c r="A10" s="31" t="s">
        <v>72</v>
      </c>
      <c r="B10" s="19">
        <f>E2/B8</f>
        <v>6.8621369863138605E-6</v>
      </c>
    </row>
    <row r="11" spans="1:8" x14ac:dyDescent="0.3">
      <c r="A11" s="31" t="s">
        <v>66</v>
      </c>
      <c r="B11" s="16">
        <f>B9*B4+B10*B6</f>
        <v>0.15389904455892628</v>
      </c>
    </row>
    <row r="12" spans="1:8" x14ac:dyDescent="0.3">
      <c r="A12" s="3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FB2B2-DFDE-4D50-81AA-2C2EBB0D4F95}">
  <dimension ref="A1:F59"/>
  <sheetViews>
    <sheetView tabSelected="1" workbookViewId="0">
      <selection activeCell="D60" sqref="D60"/>
    </sheetView>
  </sheetViews>
  <sheetFormatPr defaultRowHeight="14.4" x14ac:dyDescent="0.3"/>
  <cols>
    <col min="1" max="1" width="11.88671875" customWidth="1"/>
    <col min="2" max="2" width="25.33203125" customWidth="1"/>
    <col min="3" max="3" width="14.88671875" customWidth="1"/>
    <col min="4" max="4" width="14.33203125" customWidth="1"/>
    <col min="5" max="5" width="9.77734375" bestFit="1" customWidth="1"/>
    <col min="6" max="6" width="10.88671875" customWidth="1"/>
  </cols>
  <sheetData>
    <row r="1" spans="1:6" x14ac:dyDescent="0.3">
      <c r="A1" s="24"/>
      <c r="B1" s="25" t="s">
        <v>86</v>
      </c>
      <c r="C1" s="26" t="s">
        <v>83</v>
      </c>
      <c r="D1" s="26" t="s">
        <v>87</v>
      </c>
      <c r="E1" s="26" t="s">
        <v>88</v>
      </c>
      <c r="F1" s="26" t="s">
        <v>80</v>
      </c>
    </row>
    <row r="2" spans="1:6" x14ac:dyDescent="0.3">
      <c r="A2" s="27" t="s">
        <v>85</v>
      </c>
      <c r="B2" s="28">
        <v>31423918.09</v>
      </c>
      <c r="C2" s="29">
        <v>66964901.630000003</v>
      </c>
      <c r="D2" s="1">
        <v>29094000</v>
      </c>
      <c r="E2" s="1">
        <v>-9573000</v>
      </c>
      <c r="F2" s="1">
        <v>117909820</v>
      </c>
    </row>
    <row r="3" spans="1:6" x14ac:dyDescent="0.3">
      <c r="A3" s="37"/>
      <c r="B3" s="37"/>
      <c r="C3" s="37"/>
      <c r="D3" s="37"/>
      <c r="E3" s="37"/>
      <c r="F3" s="37"/>
    </row>
    <row r="4" spans="1:6" x14ac:dyDescent="0.3">
      <c r="A4" s="37"/>
      <c r="B4" s="37"/>
      <c r="C4" s="37"/>
      <c r="D4" s="37"/>
      <c r="E4" s="37"/>
      <c r="F4" s="37"/>
    </row>
    <row r="5" spans="1:6" x14ac:dyDescent="0.3">
      <c r="A5" s="37"/>
      <c r="B5" s="37"/>
      <c r="C5" s="37"/>
      <c r="D5" s="37"/>
      <c r="E5" s="37"/>
      <c r="F5" s="37"/>
    </row>
    <row r="6" spans="1:6" x14ac:dyDescent="0.3">
      <c r="A6" s="23"/>
      <c r="B6" s="22"/>
    </row>
    <row r="24" spans="1:5" x14ac:dyDescent="0.3">
      <c r="A24" s="40" t="s">
        <v>90</v>
      </c>
      <c r="B24" s="33"/>
      <c r="C24" s="33"/>
      <c r="D24" s="33"/>
      <c r="E24" s="33"/>
    </row>
    <row r="25" spans="1:5" x14ac:dyDescent="0.3">
      <c r="A25" s="33"/>
      <c r="B25" s="33"/>
      <c r="C25" s="33"/>
      <c r="D25" s="33"/>
      <c r="E25" s="33"/>
    </row>
    <row r="26" spans="1:5" x14ac:dyDescent="0.3">
      <c r="A26" s="38" t="s">
        <v>89</v>
      </c>
      <c r="B26" s="38"/>
      <c r="C26" s="38"/>
      <c r="D26" s="38"/>
      <c r="E26" s="38"/>
    </row>
    <row r="27" spans="1:5" x14ac:dyDescent="0.3">
      <c r="A27" s="38"/>
      <c r="B27" s="38"/>
      <c r="C27" s="38"/>
      <c r="D27" s="38"/>
      <c r="E27" s="38"/>
    </row>
    <row r="28" spans="1:5" x14ac:dyDescent="0.3">
      <c r="A28" s="38"/>
      <c r="B28" s="38"/>
      <c r="C28" s="38"/>
      <c r="D28" s="38"/>
      <c r="E28" s="38"/>
    </row>
    <row r="29" spans="1:5" x14ac:dyDescent="0.3">
      <c r="A29" s="38"/>
      <c r="B29" s="38"/>
      <c r="C29" s="38"/>
      <c r="D29" s="38"/>
      <c r="E29" s="38"/>
    </row>
    <row r="31" spans="1:5" x14ac:dyDescent="0.3">
      <c r="A31" s="38" t="s">
        <v>91</v>
      </c>
      <c r="B31" s="38"/>
      <c r="C31" s="38"/>
      <c r="D31" s="38"/>
    </row>
    <row r="32" spans="1:5" x14ac:dyDescent="0.3">
      <c r="A32" s="38"/>
      <c r="B32" s="38"/>
      <c r="C32" s="38"/>
      <c r="D32" s="38"/>
    </row>
    <row r="33" spans="1:4" x14ac:dyDescent="0.3">
      <c r="A33" s="38"/>
      <c r="B33" s="38"/>
      <c r="C33" s="38"/>
      <c r="D33" s="38"/>
    </row>
    <row r="34" spans="1:4" x14ac:dyDescent="0.3">
      <c r="A34" s="38"/>
      <c r="B34" s="38"/>
      <c r="C34" s="38"/>
      <c r="D34" s="38"/>
    </row>
    <row r="35" spans="1:4" x14ac:dyDescent="0.3">
      <c r="A35" s="38"/>
      <c r="B35" s="38"/>
      <c r="C35" s="38"/>
      <c r="D35" s="38"/>
    </row>
    <row r="36" spans="1:4" x14ac:dyDescent="0.3">
      <c r="A36" s="38"/>
      <c r="B36" s="38"/>
      <c r="C36" s="38"/>
      <c r="D36" s="38"/>
    </row>
    <row r="37" spans="1:4" x14ac:dyDescent="0.3">
      <c r="A37" s="38"/>
      <c r="B37" s="38"/>
      <c r="C37" s="38"/>
      <c r="D37" s="38"/>
    </row>
    <row r="38" spans="1:4" x14ac:dyDescent="0.3">
      <c r="A38" s="38"/>
      <c r="B38" s="38"/>
      <c r="C38" s="38"/>
      <c r="D38" s="38"/>
    </row>
    <row r="39" spans="1:4" x14ac:dyDescent="0.3">
      <c r="A39" s="35"/>
      <c r="B39" s="35"/>
      <c r="C39" s="35"/>
      <c r="D39" s="35"/>
    </row>
    <row r="40" spans="1:4" x14ac:dyDescent="0.3">
      <c r="A40" s="38" t="s">
        <v>92</v>
      </c>
      <c r="B40" s="38"/>
      <c r="C40" s="38"/>
      <c r="D40" s="38"/>
    </row>
    <row r="41" spans="1:4" x14ac:dyDescent="0.3">
      <c r="A41" s="38"/>
      <c r="B41" s="38"/>
      <c r="C41" s="38"/>
      <c r="D41" s="38"/>
    </row>
    <row r="42" spans="1:4" x14ac:dyDescent="0.3">
      <c r="A42" s="38"/>
      <c r="B42" s="38"/>
      <c r="C42" s="38"/>
      <c r="D42" s="38"/>
    </row>
    <row r="44" spans="1:4" x14ac:dyDescent="0.3">
      <c r="A44" s="38" t="s">
        <v>93</v>
      </c>
      <c r="B44" s="38"/>
      <c r="C44" s="38"/>
      <c r="D44" s="38"/>
    </row>
    <row r="45" spans="1:4" x14ac:dyDescent="0.3">
      <c r="A45" s="38"/>
      <c r="B45" s="38"/>
      <c r="C45" s="38"/>
      <c r="D45" s="38"/>
    </row>
    <row r="46" spans="1:4" x14ac:dyDescent="0.3">
      <c r="A46" s="38"/>
      <c r="B46" s="38"/>
      <c r="C46" s="38"/>
      <c r="D46" s="38"/>
    </row>
    <row r="47" spans="1:4" x14ac:dyDescent="0.3">
      <c r="A47" s="38"/>
      <c r="B47" s="38"/>
      <c r="C47" s="38"/>
      <c r="D47" s="38"/>
    </row>
    <row r="48" spans="1:4" x14ac:dyDescent="0.3">
      <c r="A48" s="38"/>
      <c r="B48" s="38"/>
      <c r="C48" s="38"/>
      <c r="D48" s="38"/>
    </row>
    <row r="49" spans="1:4" x14ac:dyDescent="0.3">
      <c r="A49" s="38"/>
      <c r="B49" s="38"/>
      <c r="C49" s="38"/>
      <c r="D49" s="38"/>
    </row>
    <row r="50" spans="1:4" x14ac:dyDescent="0.3">
      <c r="A50" s="38"/>
      <c r="B50" s="38"/>
      <c r="C50" s="38"/>
      <c r="D50" s="38"/>
    </row>
    <row r="51" spans="1:4" x14ac:dyDescent="0.3">
      <c r="A51" s="38"/>
      <c r="B51" s="38"/>
      <c r="C51" s="38"/>
      <c r="D51" s="38"/>
    </row>
    <row r="52" spans="1:4" x14ac:dyDescent="0.3">
      <c r="A52" s="39"/>
      <c r="B52" s="39"/>
      <c r="C52" s="39"/>
      <c r="D52" s="39"/>
    </row>
    <row r="53" spans="1:4" x14ac:dyDescent="0.3">
      <c r="A53" s="38" t="s">
        <v>94</v>
      </c>
      <c r="B53" s="38"/>
      <c r="C53" s="38"/>
      <c r="D53" s="38"/>
    </row>
    <row r="54" spans="1:4" x14ac:dyDescent="0.3">
      <c r="A54" s="38"/>
      <c r="B54" s="38"/>
      <c r="C54" s="38"/>
      <c r="D54" s="38"/>
    </row>
    <row r="55" spans="1:4" x14ac:dyDescent="0.3">
      <c r="A55" s="38"/>
      <c r="B55" s="38"/>
      <c r="C55" s="38"/>
      <c r="D55" s="38"/>
    </row>
    <row r="56" spans="1:4" x14ac:dyDescent="0.3">
      <c r="A56" s="38"/>
      <c r="B56" s="38"/>
      <c r="C56" s="38"/>
      <c r="D56" s="38"/>
    </row>
    <row r="57" spans="1:4" x14ac:dyDescent="0.3">
      <c r="A57" s="38"/>
      <c r="B57" s="38"/>
      <c r="C57" s="38"/>
      <c r="D57" s="38"/>
    </row>
    <row r="58" spans="1:4" x14ac:dyDescent="0.3">
      <c r="A58" s="38"/>
      <c r="B58" s="38"/>
      <c r="C58" s="38"/>
      <c r="D58" s="38"/>
    </row>
    <row r="59" spans="1:4" x14ac:dyDescent="0.3">
      <c r="A59" s="38"/>
      <c r="B59" s="38"/>
      <c r="C59" s="38"/>
      <c r="D59" s="38"/>
    </row>
  </sheetData>
  <mergeCells count="8">
    <mergeCell ref="A44:D51"/>
    <mergeCell ref="A53:D59"/>
    <mergeCell ref="A31:D38"/>
    <mergeCell ref="A40:D42"/>
    <mergeCell ref="A39:D39"/>
    <mergeCell ref="A3:F5"/>
    <mergeCell ref="A26:E29"/>
    <mergeCell ref="A24:E2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Hist</vt:lpstr>
      <vt:lpstr>Assumptions</vt:lpstr>
      <vt:lpstr>FCF</vt:lpstr>
      <vt:lpstr>DCF Valuation</vt:lpstr>
      <vt:lpstr>Forecast</vt:lpstr>
      <vt:lpstr>DCF</vt:lpstr>
      <vt:lpstr>Valuation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Saron Berhanu</dc:creator>
  <cp:lastModifiedBy>Saron Berhanu</cp:lastModifiedBy>
  <dcterms:created xsi:type="dcterms:W3CDTF">2025-11-20T21:43:13Z</dcterms:created>
  <dcterms:modified xsi:type="dcterms:W3CDTF">2026-01-09T10:10:19Z</dcterms:modified>
</cp:coreProperties>
</file>