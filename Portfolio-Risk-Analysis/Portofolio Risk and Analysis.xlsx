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aron\Downloads\"/>
    </mc:Choice>
  </mc:AlternateContent>
  <xr:revisionPtr revIDLastSave="0" documentId="8_{BB763B6A-A3FD-404E-8A22-6EE274875984}" xr6:coauthVersionLast="47" xr6:coauthVersionMax="47" xr10:uidLastSave="{00000000-0000-0000-0000-000000000000}"/>
  <bookViews>
    <workbookView xWindow="5916" yWindow="1344" windowWidth="12612" windowHeight="10524" activeTab="2" xr2:uid="{743BEA5F-7762-4703-AD66-72865AAC88A0}"/>
  </bookViews>
  <sheets>
    <sheet name="Data" sheetId="1" r:id="rId1"/>
    <sheet name="Stats" sheetId="3" r:id="rId2"/>
    <sheet name="Chart"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4" l="1"/>
  <c r="C6" i="4"/>
  <c r="C3" i="4"/>
  <c r="B6" i="4"/>
  <c r="C5" i="4"/>
  <c r="C4" i="4"/>
  <c r="B5" i="4"/>
  <c r="B4" i="4"/>
  <c r="G57" i="1"/>
  <c r="B14" i="3" s="1"/>
  <c r="H15" i="3"/>
  <c r="I15" i="3"/>
  <c r="I14" i="3"/>
  <c r="H14" i="3"/>
  <c r="C15" i="3"/>
  <c r="D15" i="3"/>
  <c r="D14" i="3"/>
  <c r="C14" i="3"/>
  <c r="G8" i="3"/>
  <c r="F8" i="3"/>
  <c r="E8" i="3"/>
  <c r="C8" i="3"/>
  <c r="B8" i="3"/>
  <c r="G3" i="3"/>
  <c r="F3" i="3"/>
  <c r="E3" i="3"/>
  <c r="G13" i="3" s="1"/>
  <c r="C3" i="3"/>
  <c r="B3" i="3"/>
  <c r="G61" i="1"/>
  <c r="H2" i="1"/>
  <c r="I2" i="1"/>
  <c r="G2" i="1"/>
  <c r="G3"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G60" i="1"/>
  <c r="G59" i="1"/>
  <c r="G58"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A3" i="3" l="1"/>
  <c r="B15" i="3"/>
  <c r="D13" i="3"/>
  <c r="A8" i="3"/>
  <c r="C13" i="3"/>
  <c r="B13" i="3"/>
  <c r="H13" i="3" l="1"/>
  <c r="G14" i="3"/>
  <c r="G15" i="3"/>
  <c r="I13" i="3"/>
  <c r="C25" i="3" l="1" a="1"/>
  <c r="C25" i="3" s="1"/>
  <c r="C26"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<sst xmlns="http://schemas.openxmlformats.org/spreadsheetml/2006/main" count="54" uniqueCount="23">
  <si>
    <t>Date</t>
  </si>
  <si>
    <t>SPY Adj Close</t>
  </si>
  <si>
    <t>AGG Adj Close</t>
  </si>
  <si>
    <t>MSFT Adj Close</t>
  </si>
  <si>
    <t>SPY</t>
  </si>
  <si>
    <t>AGG</t>
  </si>
  <si>
    <t>MSFT</t>
  </si>
  <si>
    <t>Averages Monthly Return</t>
  </si>
  <si>
    <t>Monthly volatility</t>
  </si>
  <si>
    <t>Returns Monthly</t>
  </si>
  <si>
    <t>Annual Return</t>
  </si>
  <si>
    <t>Annual Volatility</t>
  </si>
  <si>
    <t>Correlation</t>
  </si>
  <si>
    <t>Covariance</t>
  </si>
  <si>
    <t>Assets</t>
  </si>
  <si>
    <t>Weights</t>
  </si>
  <si>
    <t>Portofolio Variance</t>
  </si>
  <si>
    <t>Portfolio Volatility</t>
  </si>
  <si>
    <t>Risk Return Table</t>
  </si>
  <si>
    <t xml:space="preserve">Asset </t>
  </si>
  <si>
    <t>Portofolio</t>
  </si>
  <si>
    <t>Annual Volatility (x)</t>
  </si>
  <si>
    <t>This project evaluates the risk and return characteristics of a multi-asset investment portfolio using historical market data. The analysis focuses on SPY, AGG, and MSFT to examine how diversification impacts portfolio volatility and expected return. Monthly returns were calculated using adjusted closing prices, and key risk metrics including variance, covariance, correlation, and portfolio volatility were derived using Excel.
The results demonstrate how combining assets with different risk profiles and correlations can reduce overall portfolio risk relative to holding individual securities. A risk–return scatter plot is used to visualize the tradeoff between volatility and return for each asset and the combined portfolio. This project highlights practical application of portfolio theory, quantitative risk analysis, and Excel-based financial modeling techniques commonly used in investment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</si>
</sst>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
    <numFmt numFmtId="165" formatCode="0.000000"/>
  </numFmts>
  <fonts count="2" x14ac:knownFonts="1">
    <font>
      <sz val="11"/>
      <color theme="1"/>
      <name val="Aptos Narrow"/>
      <family val="2"/>
      <scheme val="minor"/>
    </font>
    <font>
      <sz val="8"/>
      <color rgb="FF232A31"/>
      <name val="Arial"/>
      <family val="2"/>
    </font>
  </fonts>
  <fills count="6">
    <fill>
      <patternFill patternType="none"/>
    </fill>
    <fill>
      <patternFill patternType="gray125"/>
    </fill>
    <fill>
      <patternFill patternType="solid">
        <fgColor rgb="FFFFFFFF"/>
        <bgColor indexed="64"/>
      </patternFill>
    </fill>
    <fill>
      <patternFill patternType="solid">
        <fgColor rgb="FFF2F5F7"/>
        <bgColor indexed="64"/>
      </patternFill>
    </fill>
    <fill>
      <patternFill patternType="solid">
        <fgColor rgb="FFDDE0E4"/>
        <bgColor indexed="64"/>
      </patternFill>
    </fill>
    <fill>
      <patternFill patternType="solid">
        <fgColor theme="2" tint="-9.9978637043366805E-2"/>
        <bgColor indexed="64"/>
      </patternFill>
    </fill>
  </fills>
  <borders count="1">
    <border>
      <left/>
      <right/>
      <top/>
      <bottom/>
      <diagonal/>
    </border>
  </borders>
  <cellStyleXfs count="1">
    <xf numFmtId="0" fontId="0" fillId="0" borderId="0"/>
  </cellStyleXfs>
  <cellXfs count="10">
    <xf numFmtId="0" fontId="0" fillId="0" borderId="0" xfId="0"/>
    <xf numFmtId="15" fontId="1" fillId="3" borderId="0" xfId="0" applyNumberFormat="1" applyFont="1" applyFill="1" applyAlignment="1">
      <alignment horizontal="left" vertical="center"/>
    </xf>
    <xf numFmtId="15" fontId="1" fillId="2" borderId="0" xfId="0" applyNumberFormat="1" applyFont="1" applyFill="1" applyAlignment="1">
      <alignment horizontal="left" vertical="center"/>
    </xf>
    <xf numFmtId="15" fontId="1" fillId="4" borderId="0" xfId="0" applyNumberFormat="1" applyFont="1" applyFill="1" applyAlignment="1">
      <alignment horizontal="left" vertical="center"/>
    </xf>
    <xf numFmtId="0" fontId="0" fillId="5" borderId="0" xfId="0" applyFill="1"/>
    <xf numFmtId="2" fontId="0" fillId="0" borderId="0" xfId="0" applyNumberFormat="1"/>
    <xf numFmtId="164" fontId="0" fillId="0" borderId="0" xfId="0" applyNumberFormat="1"/>
    <xf numFmtId="165" fontId="0" fillId="0" borderId="0" xfId="0" applyNumberFormat="1"/>
    <xf numFmtId="0" fontId="0" fillId="5" borderId="0" xfId="0" applyFill="1" applyAlignment="1">
      <alignment horizontal="center"/>
    </xf>
    <xf numFmtId="0" fontId="0"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Risk Return Annual Tradeoff</a:t>
            </a:r>
          </a:p>
          <a:p>
            <a:pPr>
              <a:defRPr/>
            </a:pPr>
            <a:r>
              <a:rPr lang="en-US"/>
              <a:t>5 Year Monthly Data</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828180371819261"/>
          <c:y val="0.18540788175284592"/>
          <c:w val="0.80531033636297855"/>
          <c:h val="0.69902703204823158"/>
        </c:manualLayout>
      </c:layout>
      <c:scatterChart>
        <c:scatterStyle val="lineMarker"/>
        <c:varyColors val="0"/>
        <c:ser>
          <c:idx val="0"/>
          <c:order val="0"/>
          <c:tx>
            <c:v>Risk Return</c:v>
          </c:tx>
          <c:spPr>
            <a:ln w="25400" cap="rnd">
              <a:noFill/>
              <a:round/>
            </a:ln>
            <a:effectLst/>
          </c:spPr>
          <c:marker>
            <c:symbol val="circle"/>
            <c:size val="5"/>
            <c:spPr>
              <a:solidFill>
                <a:schemeClr val="accent1"/>
              </a:solidFill>
              <a:ln w="9525">
                <a:solidFill>
                  <a:schemeClr val="accent1"/>
                </a:solidFill>
              </a:ln>
              <a:effectLst/>
            </c:spPr>
          </c:marker>
          <c:dLbls>
            <c:dLbl>
              <c:idx val="0"/>
              <c:tx>
                <c:rich>
                  <a:bodyPr/>
                  <a:lstStyle/>
                  <a:p>
                    <a:fld id="{4908DE2A-6392-4181-AD4C-88AA1BDED41B}" type="CELLRANGE">
                      <a:rPr lang="en-US" baseline="0"/>
                      <a:pPr/>
                      <a:t>[CELLRANGE]</a:t>
                    </a:fld>
                    <a:r>
                      <a:rPr lang="en-US" baseline="0"/>
                      <a:t>, </a:t>
                    </a:r>
                    <a:fld id="{2459AD82-EF47-4EB8-BC33-289FB8EC733A}"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96AA-41F8-8B42-311E7FB29395}"/>
                </c:ext>
              </c:extLst>
            </c:dLbl>
            <c:dLbl>
              <c:idx val="1"/>
              <c:layout>
                <c:manualLayout>
                  <c:x val="0.11632518660117039"/>
                  <c:y val="-2.2494889940356162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D199A91D-41AD-4098-B797-5D79C318DEF9}" type="CELLRANGE">
                      <a:rPr lang="en-US" baseline="0"/>
                      <a:pPr>
                        <a:defRPr/>
                      </a:pPr>
                      <a:t>[CELLRANGE]</a:t>
                    </a:fld>
                    <a:r>
                      <a:rPr lang="en-US" baseline="0"/>
                      <a:t>, </a:t>
                    </a:r>
                    <a:fld id="{503738B4-AAEC-4336-83C3-4328F0F27976}" type="YVALUE">
                      <a:rPr lang="en-US" baseline="0"/>
                      <a:pPr>
                        <a:defRPr/>
                      </a:pPr>
                      <a:t>[Y 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0595374287737217"/>
                      <c:h val="9.4903638031832924E-2"/>
                    </c:manualLayout>
                  </c15:layout>
                  <c15:dlblFieldTable/>
                  <c15:showDataLabelsRange val="1"/>
                </c:ext>
                <c:ext xmlns:c16="http://schemas.microsoft.com/office/drawing/2014/chart" uri="{C3380CC4-5D6E-409C-BE32-E72D297353CC}">
                  <c16:uniqueId val="{0000000B-96AA-41F8-8B42-311E7FB29395}"/>
                </c:ext>
              </c:extLst>
            </c:dLbl>
            <c:dLbl>
              <c:idx val="2"/>
              <c:tx>
                <c:rich>
                  <a:bodyPr/>
                  <a:lstStyle/>
                  <a:p>
                    <a:fld id="{4B8C618C-D352-49B2-BBB9-C6942271946B}" type="CELLRANGE">
                      <a:rPr lang="en-US" baseline="0"/>
                      <a:pPr/>
                      <a:t>[CELLRANGE]</a:t>
                    </a:fld>
                    <a:r>
                      <a:rPr lang="en-US" baseline="0"/>
                      <a:t>, </a:t>
                    </a:r>
                    <a:fld id="{74CE0060-4B18-4C43-AB84-474F3215DB7D}"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96AA-41F8-8B42-311E7FB29395}"/>
                </c:ext>
              </c:extLst>
            </c:dLbl>
            <c:dLbl>
              <c:idx val="3"/>
              <c:layout>
                <c:manualLayout>
                  <c:x val="2.7627346311071874E-2"/>
                  <c:y val="-0.12997067201663254"/>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ADE777B-E485-4F13-B9F7-7C9DBE3EE3AA}" type="CELLRANGE">
                      <a:rPr lang="en-US" baseline="0"/>
                      <a:pPr>
                        <a:defRPr/>
                      </a:pPr>
                      <a:t>[CELLRANGE]</a:t>
                    </a:fld>
                    <a:r>
                      <a:rPr lang="en-US" baseline="0"/>
                      <a:t>, </a:t>
                    </a:r>
                    <a:fld id="{F6A63BB3-4C97-4096-B091-7E6A6F421C80}" type="YVALUE">
                      <a:rPr lang="en-US" baseline="0"/>
                      <a:pPr>
                        <a:defRPr/>
                      </a:pPr>
                      <a:t>[Y 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412030222565803"/>
                      <c:h val="0.10490136689421338"/>
                    </c:manualLayout>
                  </c15:layout>
                  <c15:dlblFieldTable/>
                  <c15:showDataLabelsRange val="1"/>
                </c:ext>
                <c:ext xmlns:c16="http://schemas.microsoft.com/office/drawing/2014/chart" uri="{C3380CC4-5D6E-409C-BE32-E72D297353CC}">
                  <c16:uniqueId val="{0000000C-96AA-41F8-8B42-311E7FB2939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Chart!$C$3:$C$6</c:f>
              <c:numCache>
                <c:formatCode>0.0000000</c:formatCode>
                <c:ptCount val="4"/>
                <c:pt idx="0" formatCode="0.000000">
                  <c:v>0.1542765310777385</c:v>
                </c:pt>
                <c:pt idx="1">
                  <c:v>6.5739541365923956E-2</c:v>
                </c:pt>
                <c:pt idx="2" formatCode="0.000000">
                  <c:v>0.2193727249824039</c:v>
                </c:pt>
                <c:pt idx="3" formatCode="0.000000">
                  <c:v>4.1201291061352383E-2</c:v>
                </c:pt>
              </c:numCache>
            </c:numRef>
          </c:xVal>
          <c:yVal>
            <c:numRef>
              <c:f>Chart!$B$3:$B$6</c:f>
              <c:numCache>
                <c:formatCode>0.0000000</c:formatCode>
                <c:ptCount val="4"/>
                <c:pt idx="0">
                  <c:v>0.13500934115187879</c:v>
                </c:pt>
                <c:pt idx="1">
                  <c:v>1.4065601840524884E-3</c:v>
                </c:pt>
                <c:pt idx="2" formatCode="0.000000">
                  <c:v>0.15740485099506918</c:v>
                </c:pt>
                <c:pt idx="3" formatCode="0.000000">
                  <c:v>1.6975463851222757E-3</c:v>
                </c:pt>
              </c:numCache>
            </c:numRef>
          </c:yVal>
          <c:smooth val="0"/>
          <c:extLst>
            <c:ext xmlns:c15="http://schemas.microsoft.com/office/drawing/2012/chart" uri="{02D57815-91ED-43cb-92C2-25804820EDAC}">
              <c15:datalabelsRange>
                <c15:f>Chart!$A$3:$A$6</c15:f>
                <c15:dlblRangeCache>
                  <c:ptCount val="4"/>
                  <c:pt idx="0">
                    <c:v>SPY</c:v>
                  </c:pt>
                  <c:pt idx="1">
                    <c:v>AGG</c:v>
                  </c:pt>
                  <c:pt idx="2">
                    <c:v>MSFT</c:v>
                  </c:pt>
                  <c:pt idx="3">
                    <c:v>Portofolio</c:v>
                  </c:pt>
                </c15:dlblRangeCache>
              </c15:datalabelsRange>
            </c:ext>
            <c:ext xmlns:c16="http://schemas.microsoft.com/office/drawing/2014/chart" uri="{C3380CC4-5D6E-409C-BE32-E72D297353CC}">
              <c16:uniqueId val="{00000005-96AA-41F8-8B42-311E7FB29395}"/>
            </c:ext>
          </c:extLst>
        </c:ser>
        <c:dLbls>
          <c:showLegendKey val="0"/>
          <c:showVal val="0"/>
          <c:showCatName val="0"/>
          <c:showSerName val="0"/>
          <c:showPercent val="0"/>
          <c:showBubbleSize val="0"/>
        </c:dLbls>
        <c:axId val="131302736"/>
        <c:axId val="131300816"/>
      </c:scatterChart>
      <c:valAx>
        <c:axId val="1313027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00816"/>
        <c:crosses val="autoZero"/>
        <c:crossBetween val="midCat"/>
      </c:valAx>
      <c:valAx>
        <c:axId val="1313008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027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381000</xdr:colOff>
      <xdr:row>0</xdr:row>
      <xdr:rowOff>0</xdr:rowOff>
    </xdr:from>
    <xdr:to>
      <xdr:col>17</xdr:col>
      <xdr:colOff>365448</xdr:colOff>
      <xdr:row>22</xdr:row>
      <xdr:rowOff>62203</xdr:rowOff>
    </xdr:to>
    <xdr:graphicFrame macro="">
      <xdr:nvGraphicFramePr>
        <xdr:cNvPr id="7" name="Chart 6">
          <a:extLst>
            <a:ext uri="{FF2B5EF4-FFF2-40B4-BE49-F238E27FC236}">
              <a16:creationId xmlns:a16="http://schemas.microsoft.com/office/drawing/2014/main" id="{4EB5BE20-4551-C22F-E8C1-3B527EE2AE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7B393-9C73-4DAC-A9F1-8879203A2CCE}">
  <dimension ref="A1:I61"/>
  <sheetViews>
    <sheetView zoomScale="77" zoomScaleNormal="100" workbookViewId="0">
      <selection activeCell="E56" sqref="E56"/>
    </sheetView>
  </sheetViews>
  <sheetFormatPr defaultRowHeight="14.4" x14ac:dyDescent="0.3"/>
  <cols>
    <col min="1" max="1" width="10.33203125" customWidth="1"/>
    <col min="2" max="2" width="15.5546875" customWidth="1"/>
    <col min="3" max="3" width="15.44140625" customWidth="1"/>
    <col min="4" max="4" width="17" customWidth="1"/>
    <col min="6" max="6" width="16.109375" customWidth="1"/>
  </cols>
  <sheetData>
    <row r="1" spans="1:9" x14ac:dyDescent="0.3">
      <c r="A1" s="4" t="s">
        <v>0</v>
      </c>
      <c r="B1" s="4" t="s">
        <v>1</v>
      </c>
      <c r="C1" s="4" t="s">
        <v>2</v>
      </c>
      <c r="D1" s="4" t="s">
        <v>3</v>
      </c>
      <c r="F1" s="4" t="s">
        <v>9</v>
      </c>
      <c r="G1" s="4" t="s">
        <v>4</v>
      </c>
      <c r="H1" s="4" t="s">
        <v>5</v>
      </c>
      <c r="I1" s="4" t="s">
        <v>6</v>
      </c>
    </row>
    <row r="2" spans="1:9" x14ac:dyDescent="0.3">
      <c r="A2" s="3">
        <v>44228</v>
      </c>
      <c r="B2" s="4">
        <v>355.06</v>
      </c>
      <c r="C2" s="4">
        <v>99.43</v>
      </c>
      <c r="D2" s="4">
        <v>222.98</v>
      </c>
      <c r="G2">
        <f t="shared" ref="G2:G33" si="0">LN(B3/B2)</f>
        <v>4.1108102407407587E-2</v>
      </c>
      <c r="H2">
        <f t="shared" ref="H2:H33" si="1">LN(C3/C2)</f>
        <v>-1.1531586413444235E-2</v>
      </c>
      <c r="I2">
        <f t="shared" ref="I2:I33" si="2">LN(D3/D2)</f>
        <v>1.6766007655820633E-2</v>
      </c>
    </row>
    <row r="3" spans="1:9" x14ac:dyDescent="0.3">
      <c r="A3" s="2">
        <v>44256</v>
      </c>
      <c r="B3">
        <v>369.96</v>
      </c>
      <c r="C3">
        <v>98.29</v>
      </c>
      <c r="D3">
        <v>226.75</v>
      </c>
      <c r="G3">
        <f t="shared" si="0"/>
        <v>5.485220424573805E-2</v>
      </c>
      <c r="H3">
        <f t="shared" si="1"/>
        <v>7.3995573547389355E-3</v>
      </c>
      <c r="I3">
        <f t="shared" si="2"/>
        <v>6.7277325070881397E-2</v>
      </c>
    </row>
    <row r="4" spans="1:9" x14ac:dyDescent="0.3">
      <c r="A4" s="2">
        <v>44287</v>
      </c>
      <c r="B4">
        <v>390.82</v>
      </c>
      <c r="C4">
        <v>99.02</v>
      </c>
      <c r="D4">
        <v>242.53</v>
      </c>
      <c r="G4">
        <f t="shared" si="0"/>
        <v>6.5289698899492765E-3</v>
      </c>
      <c r="H4">
        <f t="shared" si="1"/>
        <v>2.017756939625942E-3</v>
      </c>
      <c r="I4">
        <f t="shared" si="2"/>
        <v>-9.9449707059042665E-3</v>
      </c>
    </row>
    <row r="5" spans="1:9" x14ac:dyDescent="0.3">
      <c r="A5" s="1">
        <v>44317</v>
      </c>
      <c r="B5">
        <v>393.38</v>
      </c>
      <c r="C5">
        <v>99.22</v>
      </c>
      <c r="D5">
        <v>240.13</v>
      </c>
      <c r="G5">
        <f t="shared" si="0"/>
        <v>1.8911009639332593E-2</v>
      </c>
      <c r="H5">
        <f t="shared" si="1"/>
        <v>8.330454156839584E-3</v>
      </c>
      <c r="I5">
        <f t="shared" si="2"/>
        <v>8.387621861966936E-2</v>
      </c>
    </row>
    <row r="6" spans="1:9" x14ac:dyDescent="0.3">
      <c r="A6" s="2">
        <v>44348</v>
      </c>
      <c r="B6">
        <v>400.89</v>
      </c>
      <c r="C6">
        <v>100.05</v>
      </c>
      <c r="D6">
        <v>261.14</v>
      </c>
      <c r="G6">
        <f t="shared" si="0"/>
        <v>2.7384816399560728E-2</v>
      </c>
      <c r="H6">
        <f t="shared" si="1"/>
        <v>1.7438270089361888E-2</v>
      </c>
      <c r="I6">
        <f t="shared" si="2"/>
        <v>5.0404487169544002E-2</v>
      </c>
    </row>
    <row r="7" spans="1:9" x14ac:dyDescent="0.3">
      <c r="A7" s="2">
        <v>44378</v>
      </c>
      <c r="B7">
        <v>412.02</v>
      </c>
      <c r="C7">
        <v>101.81</v>
      </c>
      <c r="D7">
        <v>274.64</v>
      </c>
      <c r="G7">
        <f t="shared" si="0"/>
        <v>2.9321722776629439E-2</v>
      </c>
      <c r="H7">
        <f t="shared" si="1"/>
        <v>-8.3839323262014515E-3</v>
      </c>
      <c r="I7">
        <f t="shared" si="2"/>
        <v>5.7862118022055903E-2</v>
      </c>
    </row>
    <row r="8" spans="1:9" x14ac:dyDescent="0.3">
      <c r="A8" s="1">
        <v>44409</v>
      </c>
      <c r="B8">
        <v>424.28</v>
      </c>
      <c r="C8">
        <v>100.96</v>
      </c>
      <c r="D8">
        <v>291</v>
      </c>
      <c r="G8">
        <f t="shared" si="0"/>
        <v>-5.0911295935704044E-2</v>
      </c>
      <c r="H8">
        <f t="shared" si="1"/>
        <v>-9.1542927834845737E-3</v>
      </c>
      <c r="I8">
        <f t="shared" si="2"/>
        <v>-6.6492318591741928E-2</v>
      </c>
    </row>
    <row r="9" spans="1:9" x14ac:dyDescent="0.3">
      <c r="A9" s="2">
        <v>44440</v>
      </c>
      <c r="B9">
        <v>403.22</v>
      </c>
      <c r="C9">
        <v>100.04</v>
      </c>
      <c r="D9">
        <v>272.27999999999997</v>
      </c>
      <c r="G9">
        <f t="shared" si="0"/>
        <v>7.1001335456459841E-2</v>
      </c>
      <c r="H9">
        <f t="shared" si="1"/>
        <v>-1.9994001866078533E-4</v>
      </c>
      <c r="I9">
        <f t="shared" si="2"/>
        <v>0.16236466462468238</v>
      </c>
    </row>
    <row r="10" spans="1:9" x14ac:dyDescent="0.3">
      <c r="A10" s="2">
        <v>44470</v>
      </c>
      <c r="B10">
        <v>432.89</v>
      </c>
      <c r="C10">
        <v>100.02</v>
      </c>
      <c r="D10">
        <v>320.27999999999997</v>
      </c>
      <c r="G10">
        <f t="shared" si="0"/>
        <v>-8.0714806752441824E-3</v>
      </c>
      <c r="H10">
        <f t="shared" si="1"/>
        <v>2.6958231093595062E-3</v>
      </c>
      <c r="I10">
        <f t="shared" si="2"/>
        <v>-3.0958324833703162E-3</v>
      </c>
    </row>
    <row r="11" spans="1:9" x14ac:dyDescent="0.3">
      <c r="A11" s="1">
        <v>44501</v>
      </c>
      <c r="B11">
        <v>429.41</v>
      </c>
      <c r="C11">
        <v>100.29</v>
      </c>
      <c r="D11">
        <v>319.29000000000002</v>
      </c>
      <c r="G11">
        <f t="shared" si="0"/>
        <v>4.1711191764138837E-2</v>
      </c>
      <c r="H11">
        <f t="shared" si="1"/>
        <v>-4.4970844789994253E-3</v>
      </c>
      <c r="I11">
        <f t="shared" si="2"/>
        <v>1.9016874990110243E-2</v>
      </c>
    </row>
    <row r="12" spans="1:9" x14ac:dyDescent="0.3">
      <c r="A12" s="2">
        <v>44531</v>
      </c>
      <c r="B12">
        <v>447.7</v>
      </c>
      <c r="C12">
        <v>99.84</v>
      </c>
      <c r="D12">
        <v>325.42</v>
      </c>
      <c r="G12">
        <f t="shared" si="0"/>
        <v>-5.0670420804869505E-2</v>
      </c>
      <c r="H12">
        <f t="shared" si="1"/>
        <v>-1.7785432433216314E-2</v>
      </c>
      <c r="I12">
        <f t="shared" si="2"/>
        <v>-7.8338672075173546E-2</v>
      </c>
    </row>
    <row r="13" spans="1:9" x14ac:dyDescent="0.3">
      <c r="A13" s="2">
        <v>44562</v>
      </c>
      <c r="B13">
        <v>425.58</v>
      </c>
      <c r="C13">
        <v>98.08</v>
      </c>
      <c r="D13">
        <v>300.89999999999998</v>
      </c>
      <c r="G13">
        <f t="shared" si="0"/>
        <v>-2.9956926503404695E-2</v>
      </c>
      <c r="H13">
        <f t="shared" si="1"/>
        <v>-1.2929887676353037E-2</v>
      </c>
      <c r="I13">
        <f t="shared" si="2"/>
        <v>-4.0005334613699019E-2</v>
      </c>
    </row>
    <row r="14" spans="1:9" x14ac:dyDescent="0.3">
      <c r="A14" s="1">
        <v>44593</v>
      </c>
      <c r="B14">
        <v>413.02</v>
      </c>
      <c r="C14">
        <v>96.82</v>
      </c>
      <c r="D14">
        <v>289.10000000000002</v>
      </c>
      <c r="G14">
        <f t="shared" si="0"/>
        <v>3.3803085090883193E-2</v>
      </c>
      <c r="H14">
        <f t="shared" si="1"/>
        <v>-2.8495537920214337E-2</v>
      </c>
      <c r="I14">
        <f t="shared" si="2"/>
        <v>3.3436783247118233E-2</v>
      </c>
    </row>
    <row r="15" spans="1:9" x14ac:dyDescent="0.3">
      <c r="A15" s="2">
        <v>44621</v>
      </c>
      <c r="B15">
        <v>427.22</v>
      </c>
      <c r="C15">
        <v>94.1</v>
      </c>
      <c r="D15">
        <v>298.93</v>
      </c>
      <c r="G15">
        <f t="shared" si="0"/>
        <v>-8.8770587204604443E-2</v>
      </c>
      <c r="H15">
        <f t="shared" si="1"/>
        <v>-3.8897704752254382E-2</v>
      </c>
      <c r="I15">
        <f t="shared" si="2"/>
        <v>-0.1052006991120138</v>
      </c>
    </row>
    <row r="16" spans="1:9" x14ac:dyDescent="0.3">
      <c r="A16" s="2">
        <v>44652</v>
      </c>
      <c r="B16">
        <v>390.93</v>
      </c>
      <c r="C16">
        <v>90.51</v>
      </c>
      <c r="D16">
        <v>269.08</v>
      </c>
      <c r="G16">
        <f t="shared" si="0"/>
        <v>2.2485125859397857E-3</v>
      </c>
      <c r="H16">
        <f t="shared" si="1"/>
        <v>7.37523294621597E-3</v>
      </c>
      <c r="I16">
        <f t="shared" si="2"/>
        <v>-2.0575930529052787E-2</v>
      </c>
    </row>
    <row r="17" spans="1:9" x14ac:dyDescent="0.3">
      <c r="A17" s="1">
        <v>44682</v>
      </c>
      <c r="B17">
        <v>391.81</v>
      </c>
      <c r="C17">
        <v>91.18</v>
      </c>
      <c r="D17">
        <v>263.60000000000002</v>
      </c>
      <c r="G17">
        <f t="shared" si="0"/>
        <v>-9.0355780096206748E-2</v>
      </c>
      <c r="H17">
        <f t="shared" si="1"/>
        <v>-1.5696133010909184E-2</v>
      </c>
      <c r="I17">
        <f t="shared" si="2"/>
        <v>-5.4573166133079609E-2</v>
      </c>
    </row>
    <row r="18" spans="1:9" x14ac:dyDescent="0.3">
      <c r="A18" s="2">
        <v>44713</v>
      </c>
      <c r="B18">
        <v>357.96</v>
      </c>
      <c r="C18">
        <v>89.76</v>
      </c>
      <c r="D18">
        <v>249.6</v>
      </c>
      <c r="G18">
        <f t="shared" si="0"/>
        <v>9.2395504420841476E-2</v>
      </c>
      <c r="H18">
        <f t="shared" si="1"/>
        <v>2.4975169076379207E-2</v>
      </c>
      <c r="I18">
        <f t="shared" si="2"/>
        <v>8.8989254102189816E-2</v>
      </c>
    </row>
    <row r="19" spans="1:9" x14ac:dyDescent="0.3">
      <c r="A19" s="2">
        <v>44743</v>
      </c>
      <c r="B19">
        <v>392.61</v>
      </c>
      <c r="C19">
        <v>92.03</v>
      </c>
      <c r="D19">
        <v>272.83</v>
      </c>
      <c r="G19">
        <f t="shared" si="0"/>
        <v>-4.1659690237272326E-2</v>
      </c>
      <c r="H19">
        <f t="shared" si="1"/>
        <v>-3.1009381150646862E-2</v>
      </c>
      <c r="I19">
        <f t="shared" si="2"/>
        <v>-7.1081646460906159E-2</v>
      </c>
    </row>
    <row r="20" spans="1:9" x14ac:dyDescent="0.3">
      <c r="A20" s="1">
        <v>44774</v>
      </c>
      <c r="B20">
        <v>376.59</v>
      </c>
      <c r="C20">
        <v>89.22</v>
      </c>
      <c r="D20">
        <v>254.11</v>
      </c>
      <c r="G20">
        <f t="shared" si="0"/>
        <v>-0.1010944219316959</v>
      </c>
      <c r="H20">
        <f t="shared" si="1"/>
        <v>-4.2354962983328928E-2</v>
      </c>
      <c r="I20">
        <f t="shared" si="2"/>
        <v>-0.11361049274937181</v>
      </c>
    </row>
    <row r="21" spans="1:9" x14ac:dyDescent="0.3">
      <c r="A21" s="2">
        <v>44805</v>
      </c>
      <c r="B21">
        <v>340.38</v>
      </c>
      <c r="C21">
        <v>85.52</v>
      </c>
      <c r="D21">
        <v>226.82</v>
      </c>
      <c r="G21">
        <f t="shared" si="0"/>
        <v>8.2223408664364908E-2</v>
      </c>
      <c r="H21">
        <f t="shared" si="1"/>
        <v>-1.3064388721161228E-2</v>
      </c>
      <c r="I21">
        <f t="shared" si="2"/>
        <v>-3.3120655594559658E-3</v>
      </c>
    </row>
    <row r="22" spans="1:9" x14ac:dyDescent="0.3">
      <c r="A22" s="2">
        <v>44835</v>
      </c>
      <c r="B22">
        <v>369.55</v>
      </c>
      <c r="C22">
        <v>84.41</v>
      </c>
      <c r="D22">
        <v>226.07</v>
      </c>
      <c r="G22">
        <f t="shared" si="0"/>
        <v>5.411706728171517E-2</v>
      </c>
      <c r="H22">
        <f t="shared" si="1"/>
        <v>3.7323404390123917E-2</v>
      </c>
      <c r="I22">
        <f t="shared" si="2"/>
        <v>9.4517673572648522E-2</v>
      </c>
    </row>
    <row r="23" spans="1:9" x14ac:dyDescent="0.3">
      <c r="A23" s="1">
        <v>44866</v>
      </c>
      <c r="B23">
        <v>390.1</v>
      </c>
      <c r="C23">
        <v>87.62</v>
      </c>
      <c r="D23">
        <v>248.48</v>
      </c>
      <c r="G23">
        <f t="shared" si="0"/>
        <v>-6.3933730976190942E-2</v>
      </c>
      <c r="H23">
        <f t="shared" si="1"/>
        <v>-1.1132266224137327E-2</v>
      </c>
      <c r="I23">
        <f t="shared" si="2"/>
        <v>-5.9101514786385659E-2</v>
      </c>
    </row>
    <row r="24" spans="1:9" x14ac:dyDescent="0.3">
      <c r="A24" s="2">
        <v>44896</v>
      </c>
      <c r="B24">
        <v>365.94</v>
      </c>
      <c r="C24">
        <v>86.65</v>
      </c>
      <c r="D24">
        <v>234.22</v>
      </c>
      <c r="G24">
        <f t="shared" si="0"/>
        <v>6.5572991627069574E-2</v>
      </c>
      <c r="H24">
        <f t="shared" si="1"/>
        <v>3.7376944234927094E-2</v>
      </c>
      <c r="I24">
        <f t="shared" si="2"/>
        <v>3.2759522755915239E-2</v>
      </c>
    </row>
    <row r="25" spans="1:9" x14ac:dyDescent="0.3">
      <c r="A25" s="2">
        <v>44927</v>
      </c>
      <c r="B25">
        <v>390.74</v>
      </c>
      <c r="C25">
        <v>89.95</v>
      </c>
      <c r="D25">
        <v>242.02</v>
      </c>
      <c r="G25">
        <f t="shared" si="0"/>
        <v>-2.5479250413679655E-2</v>
      </c>
      <c r="H25">
        <f t="shared" si="1"/>
        <v>-2.944541233912722E-2</v>
      </c>
      <c r="I25">
        <f t="shared" si="2"/>
        <v>6.507168465835371E-3</v>
      </c>
    </row>
    <row r="26" spans="1:9" x14ac:dyDescent="0.3">
      <c r="A26" s="1">
        <v>44958</v>
      </c>
      <c r="B26">
        <v>380.91</v>
      </c>
      <c r="C26">
        <v>87.34</v>
      </c>
      <c r="D26">
        <v>243.6</v>
      </c>
      <c r="G26">
        <f t="shared" si="0"/>
        <v>3.2594177083441866E-2</v>
      </c>
      <c r="H26">
        <f t="shared" si="1"/>
        <v>2.6104651993727034E-2</v>
      </c>
      <c r="I26">
        <f t="shared" si="2"/>
        <v>0.14733652385104198</v>
      </c>
    </row>
    <row r="27" spans="1:9" x14ac:dyDescent="0.3">
      <c r="A27" s="2">
        <v>44986</v>
      </c>
      <c r="B27">
        <v>393.53</v>
      </c>
      <c r="C27">
        <v>89.65</v>
      </c>
      <c r="D27">
        <v>282.27</v>
      </c>
      <c r="G27">
        <f t="shared" si="0"/>
        <v>1.9676560744334142E-2</v>
      </c>
      <c r="H27">
        <f t="shared" si="1"/>
        <v>5.5617495981843609E-3</v>
      </c>
      <c r="I27">
        <f t="shared" si="2"/>
        <v>6.3714502271418366E-2</v>
      </c>
    </row>
    <row r="28" spans="1:9" x14ac:dyDescent="0.3">
      <c r="A28" s="2">
        <v>45017</v>
      </c>
      <c r="B28">
        <v>401.35</v>
      </c>
      <c r="C28">
        <v>90.15</v>
      </c>
      <c r="D28">
        <v>300.83999999999997</v>
      </c>
      <c r="G28">
        <f t="shared" si="0"/>
        <v>4.5988521795729716E-3</v>
      </c>
      <c r="H28">
        <f t="shared" si="1"/>
        <v>-1.1378971506700392E-2</v>
      </c>
      <c r="I28">
        <f t="shared" si="2"/>
        <v>6.6512289963322757E-2</v>
      </c>
    </row>
    <row r="29" spans="1:9" x14ac:dyDescent="0.3">
      <c r="A29" s="1">
        <v>45047</v>
      </c>
      <c r="B29">
        <v>403.2</v>
      </c>
      <c r="C29">
        <v>89.13</v>
      </c>
      <c r="D29">
        <v>321.52999999999997</v>
      </c>
      <c r="G29">
        <f t="shared" si="0"/>
        <v>5.9082817600433296E-2</v>
      </c>
      <c r="H29">
        <f t="shared" si="1"/>
        <v>-3.8219470983903666E-3</v>
      </c>
      <c r="I29">
        <f t="shared" si="2"/>
        <v>3.8499142035554143E-2</v>
      </c>
    </row>
    <row r="30" spans="1:9" x14ac:dyDescent="0.3">
      <c r="A30" s="2">
        <v>45078</v>
      </c>
      <c r="B30">
        <v>427.74</v>
      </c>
      <c r="C30">
        <v>88.79</v>
      </c>
      <c r="D30">
        <v>334.15</v>
      </c>
      <c r="G30">
        <f t="shared" si="0"/>
        <v>3.5911655808215016E-2</v>
      </c>
      <c r="H30">
        <f t="shared" si="1"/>
        <v>-2.2527596400752183E-4</v>
      </c>
      <c r="I30">
        <f t="shared" si="2"/>
        <v>-1.3649518151045157E-2</v>
      </c>
    </row>
    <row r="31" spans="1:9" x14ac:dyDescent="0.3">
      <c r="A31" s="2">
        <v>45108</v>
      </c>
      <c r="B31">
        <v>443.38</v>
      </c>
      <c r="C31">
        <v>88.77</v>
      </c>
      <c r="D31">
        <v>329.62</v>
      </c>
      <c r="G31">
        <f t="shared" si="0"/>
        <v>-1.639511455436311E-2</v>
      </c>
      <c r="H31">
        <f t="shared" si="1"/>
        <v>-6.4417920674822438E-3</v>
      </c>
      <c r="I31">
        <f t="shared" si="2"/>
        <v>-2.4600844457284207E-2</v>
      </c>
    </row>
    <row r="32" spans="1:9" x14ac:dyDescent="0.3">
      <c r="A32" s="1">
        <v>45139</v>
      </c>
      <c r="B32">
        <v>436.17</v>
      </c>
      <c r="C32">
        <v>88.2</v>
      </c>
      <c r="D32">
        <v>321.61</v>
      </c>
      <c r="G32">
        <f t="shared" si="0"/>
        <v>-5.2117793774236448E-2</v>
      </c>
      <c r="H32">
        <f t="shared" si="1"/>
        <v>-2.6190332252191112E-2</v>
      </c>
      <c r="I32">
        <f t="shared" si="2"/>
        <v>-3.5220144288098762E-2</v>
      </c>
    </row>
    <row r="33" spans="1:9" x14ac:dyDescent="0.3">
      <c r="A33" s="2">
        <v>45170</v>
      </c>
      <c r="B33">
        <v>414.02</v>
      </c>
      <c r="C33">
        <v>85.92</v>
      </c>
      <c r="D33">
        <v>310.48</v>
      </c>
      <c r="G33">
        <f t="shared" si="0"/>
        <v>-1.8428758675046557E-2</v>
      </c>
      <c r="H33">
        <f t="shared" si="1"/>
        <v>-1.5837036966423825E-2</v>
      </c>
      <c r="I33">
        <f t="shared" si="2"/>
        <v>6.8430143400777133E-2</v>
      </c>
    </row>
    <row r="34" spans="1:9" x14ac:dyDescent="0.3">
      <c r="A34" s="2">
        <v>45200</v>
      </c>
      <c r="B34">
        <v>406.46</v>
      </c>
      <c r="C34">
        <v>84.57</v>
      </c>
      <c r="D34">
        <v>332.47</v>
      </c>
      <c r="G34">
        <f t="shared" ref="G34:G60" si="3">LN(B35/B34)</f>
        <v>8.7415189228577855E-2</v>
      </c>
      <c r="H34">
        <f t="shared" ref="H34:H60" si="4">LN(C35/C34)</f>
        <v>4.4631684793512941E-2</v>
      </c>
      <c r="I34">
        <f t="shared" ref="I34:I60" si="5">LN(D35/D34)</f>
        <v>0.11392898891326715</v>
      </c>
    </row>
    <row r="35" spans="1:9" x14ac:dyDescent="0.3">
      <c r="A35" s="1">
        <v>45231</v>
      </c>
      <c r="B35">
        <v>443.59</v>
      </c>
      <c r="C35">
        <v>88.43</v>
      </c>
      <c r="D35">
        <v>372.59</v>
      </c>
      <c r="G35">
        <f t="shared" si="3"/>
        <v>4.0599241517692453E-2</v>
      </c>
      <c r="H35">
        <f t="shared" si="4"/>
        <v>3.3581096249230988E-2</v>
      </c>
      <c r="I35">
        <f t="shared" si="5"/>
        <v>-5.5711949888686127E-3</v>
      </c>
    </row>
    <row r="36" spans="1:9" x14ac:dyDescent="0.3">
      <c r="A36" s="2">
        <v>45261</v>
      </c>
      <c r="B36">
        <v>461.97</v>
      </c>
      <c r="C36">
        <v>91.45</v>
      </c>
      <c r="D36">
        <v>370.52</v>
      </c>
      <c r="G36">
        <f t="shared" si="3"/>
        <v>1.9846343634871078E-2</v>
      </c>
      <c r="H36">
        <f t="shared" si="4"/>
        <v>4.2555577343816467E-3</v>
      </c>
      <c r="I36">
        <f t="shared" si="5"/>
        <v>5.5690930040770491E-2</v>
      </c>
    </row>
    <row r="37" spans="1:9" x14ac:dyDescent="0.3">
      <c r="A37" s="2">
        <v>45292</v>
      </c>
      <c r="B37">
        <v>471.23</v>
      </c>
      <c r="C37">
        <v>91.84</v>
      </c>
      <c r="D37">
        <v>391.74</v>
      </c>
      <c r="G37">
        <f t="shared" si="3"/>
        <v>5.0866660090507339E-2</v>
      </c>
      <c r="H37">
        <f t="shared" si="4"/>
        <v>-1.790764690270898E-2</v>
      </c>
      <c r="I37">
        <f t="shared" si="5"/>
        <v>3.9589806679487485E-2</v>
      </c>
    </row>
    <row r="38" spans="1:9" x14ac:dyDescent="0.3">
      <c r="A38" s="1">
        <v>45323</v>
      </c>
      <c r="B38">
        <v>495.82</v>
      </c>
      <c r="C38">
        <v>90.21</v>
      </c>
      <c r="D38">
        <v>407.56</v>
      </c>
      <c r="G38">
        <f t="shared" si="3"/>
        <v>2.9079731981214739E-2</v>
      </c>
      <c r="H38">
        <f t="shared" si="4"/>
        <v>9.0488368486501391E-3</v>
      </c>
      <c r="I38">
        <f t="shared" si="5"/>
        <v>1.8837068219780709E-2</v>
      </c>
    </row>
    <row r="39" spans="1:9" x14ac:dyDescent="0.3">
      <c r="A39" s="2">
        <v>45352</v>
      </c>
      <c r="B39">
        <v>510.45</v>
      </c>
      <c r="C39">
        <v>91.03</v>
      </c>
      <c r="D39">
        <v>415.31</v>
      </c>
      <c r="G39">
        <f t="shared" si="3"/>
        <v>-3.8054579755360168E-2</v>
      </c>
      <c r="H39">
        <f t="shared" si="4"/>
        <v>-2.514036743696945E-2</v>
      </c>
      <c r="I39">
        <f t="shared" si="5"/>
        <v>-7.7549690434246518E-2</v>
      </c>
    </row>
    <row r="40" spans="1:9" x14ac:dyDescent="0.3">
      <c r="A40" s="2">
        <v>45383</v>
      </c>
      <c r="B40">
        <v>491.39</v>
      </c>
      <c r="C40">
        <v>88.77</v>
      </c>
      <c r="D40">
        <v>384.32</v>
      </c>
      <c r="G40">
        <f t="shared" si="3"/>
        <v>4.9353034415578277E-2</v>
      </c>
      <c r="H40">
        <f t="shared" si="4"/>
        <v>1.6424032669520697E-2</v>
      </c>
      <c r="I40">
        <f t="shared" si="5"/>
        <v>6.4169294468054611E-2</v>
      </c>
    </row>
    <row r="41" spans="1:9" x14ac:dyDescent="0.3">
      <c r="A41" s="1">
        <v>45413</v>
      </c>
      <c r="B41">
        <v>516.25</v>
      </c>
      <c r="C41">
        <v>90.24</v>
      </c>
      <c r="D41">
        <v>409.79</v>
      </c>
      <c r="G41">
        <f t="shared" si="3"/>
        <v>3.1442355997048005E-2</v>
      </c>
      <c r="H41">
        <f t="shared" si="4"/>
        <v>8.8261826282721185E-3</v>
      </c>
      <c r="I41">
        <f t="shared" si="5"/>
        <v>7.5642424027699412E-2</v>
      </c>
    </row>
    <row r="42" spans="1:9" x14ac:dyDescent="0.3">
      <c r="A42" s="2">
        <v>45444</v>
      </c>
      <c r="B42">
        <v>532.74</v>
      </c>
      <c r="C42">
        <v>91.04</v>
      </c>
      <c r="D42">
        <v>441.99</v>
      </c>
      <c r="G42">
        <f t="shared" si="3"/>
        <v>1.5256380184096011E-2</v>
      </c>
      <c r="H42">
        <f t="shared" si="4"/>
        <v>2.3877843789535395E-2</v>
      </c>
      <c r="I42">
        <f t="shared" si="5"/>
        <v>-6.6122012106757166E-2</v>
      </c>
    </row>
    <row r="43" spans="1:9" x14ac:dyDescent="0.3">
      <c r="A43" s="2">
        <v>45474</v>
      </c>
      <c r="B43">
        <v>540.92999999999995</v>
      </c>
      <c r="C43">
        <v>93.24</v>
      </c>
      <c r="D43">
        <v>413.71</v>
      </c>
      <c r="G43">
        <f t="shared" si="3"/>
        <v>2.3098331627256389E-2</v>
      </c>
      <c r="H43">
        <f t="shared" si="4"/>
        <v>1.4586364548796501E-2</v>
      </c>
      <c r="I43">
        <f t="shared" si="5"/>
        <v>-2.9047973754802105E-3</v>
      </c>
    </row>
    <row r="44" spans="1:9" x14ac:dyDescent="0.3">
      <c r="A44" s="1">
        <v>45505</v>
      </c>
      <c r="B44">
        <v>553.57000000000005</v>
      </c>
      <c r="C44">
        <v>94.61</v>
      </c>
      <c r="D44">
        <v>412.51</v>
      </c>
      <c r="G44">
        <f t="shared" si="3"/>
        <v>1.7725881292179713E-2</v>
      </c>
      <c r="H44">
        <f t="shared" si="4"/>
        <v>1.3229928372552355E-2</v>
      </c>
      <c r="I44">
        <f t="shared" si="5"/>
        <v>3.2882875866029511E-2</v>
      </c>
    </row>
    <row r="45" spans="1:9" x14ac:dyDescent="0.3">
      <c r="A45" s="2">
        <v>45536</v>
      </c>
      <c r="B45">
        <v>563.47</v>
      </c>
      <c r="C45">
        <v>95.87</v>
      </c>
      <c r="D45">
        <v>426.3</v>
      </c>
      <c r="G45">
        <f t="shared" si="3"/>
        <v>-5.9094883710905507E-3</v>
      </c>
      <c r="H45">
        <f t="shared" si="4"/>
        <v>-2.5459569816625231E-2</v>
      </c>
      <c r="I45">
        <f t="shared" si="5"/>
        <v>-5.7274328990188555E-2</v>
      </c>
    </row>
    <row r="46" spans="1:9" x14ac:dyDescent="0.3">
      <c r="A46" s="2">
        <v>45566</v>
      </c>
      <c r="B46">
        <v>560.15</v>
      </c>
      <c r="C46">
        <v>93.46</v>
      </c>
      <c r="D46">
        <v>402.57</v>
      </c>
      <c r="G46">
        <f t="shared" si="3"/>
        <v>5.793369913319342E-2</v>
      </c>
      <c r="H46">
        <f t="shared" si="4"/>
        <v>1.096047152225448E-2</v>
      </c>
      <c r="I46">
        <f t="shared" si="5"/>
        <v>4.1242205794358951E-2</v>
      </c>
    </row>
    <row r="47" spans="1:9" x14ac:dyDescent="0.3">
      <c r="A47" s="1">
        <v>45597</v>
      </c>
      <c r="B47">
        <v>593.55999999999995</v>
      </c>
      <c r="C47">
        <v>94.49</v>
      </c>
      <c r="D47">
        <v>419.52</v>
      </c>
      <c r="G47">
        <f t="shared" si="3"/>
        <v>-2.7724277372377825E-2</v>
      </c>
      <c r="H47">
        <f t="shared" si="4"/>
        <v>-2.0312864334578736E-2</v>
      </c>
      <c r="I47">
        <f t="shared" si="5"/>
        <v>-2.6493875366221933E-3</v>
      </c>
    </row>
    <row r="48" spans="1:9" x14ac:dyDescent="0.3">
      <c r="A48" s="2">
        <v>45627</v>
      </c>
      <c r="B48">
        <v>577.33000000000004</v>
      </c>
      <c r="C48">
        <v>92.59</v>
      </c>
      <c r="D48">
        <v>418.41</v>
      </c>
      <c r="G48">
        <f t="shared" si="3"/>
        <v>2.9861623670265177E-2</v>
      </c>
      <c r="H48">
        <f t="shared" si="4"/>
        <v>1.149005929543997E-2</v>
      </c>
      <c r="I48">
        <f t="shared" si="5"/>
        <v>-1.5389921178072839E-2</v>
      </c>
    </row>
    <row r="49" spans="1:9" x14ac:dyDescent="0.3">
      <c r="A49" s="2">
        <v>45658</v>
      </c>
      <c r="B49">
        <v>594.83000000000004</v>
      </c>
      <c r="C49">
        <v>93.66</v>
      </c>
      <c r="D49">
        <v>412.02</v>
      </c>
      <c r="G49">
        <f t="shared" si="3"/>
        <v>-1.2773942633286958E-2</v>
      </c>
      <c r="H49">
        <f t="shared" si="4"/>
        <v>1.8826574034265083E-2</v>
      </c>
      <c r="I49">
        <f t="shared" si="5"/>
        <v>-4.4517957488412231E-2</v>
      </c>
    </row>
    <row r="50" spans="1:9" x14ac:dyDescent="0.3">
      <c r="A50" s="1">
        <v>45689</v>
      </c>
      <c r="B50">
        <v>587.28</v>
      </c>
      <c r="C50">
        <v>95.44</v>
      </c>
      <c r="D50">
        <v>394.08</v>
      </c>
      <c r="G50">
        <f t="shared" si="3"/>
        <v>-6.0324554458638616E-2</v>
      </c>
      <c r="H50">
        <f t="shared" si="4"/>
        <v>0</v>
      </c>
      <c r="I50">
        <f t="shared" si="5"/>
        <v>-5.393048455519759E-2</v>
      </c>
    </row>
    <row r="51" spans="1:9" x14ac:dyDescent="0.3">
      <c r="A51" s="2">
        <v>45717</v>
      </c>
      <c r="B51">
        <v>552.9</v>
      </c>
      <c r="C51">
        <v>95.44</v>
      </c>
      <c r="D51">
        <v>373.39</v>
      </c>
      <c r="G51">
        <f t="shared" si="3"/>
        <v>-5.713523909016657E-3</v>
      </c>
      <c r="H51">
        <f t="shared" si="4"/>
        <v>4.0780105660100591E-3</v>
      </c>
      <c r="I51">
        <f t="shared" si="5"/>
        <v>5.1567768620494774E-2</v>
      </c>
    </row>
    <row r="52" spans="1:9" x14ac:dyDescent="0.3">
      <c r="A52" s="2">
        <v>45748</v>
      </c>
      <c r="B52">
        <v>549.75</v>
      </c>
      <c r="C52">
        <v>95.83</v>
      </c>
      <c r="D52">
        <v>393.15</v>
      </c>
      <c r="G52">
        <f t="shared" si="3"/>
        <v>6.0950920125520711E-2</v>
      </c>
      <c r="H52">
        <f t="shared" si="4"/>
        <v>-6.0707743488605075E-3</v>
      </c>
      <c r="I52">
        <f t="shared" si="5"/>
        <v>0.15248143981649986</v>
      </c>
    </row>
    <row r="53" spans="1:9" x14ac:dyDescent="0.3">
      <c r="A53" s="1">
        <v>45778</v>
      </c>
      <c r="B53">
        <v>584.29999999999995</v>
      </c>
      <c r="C53">
        <v>95.25</v>
      </c>
      <c r="D53">
        <v>457.91</v>
      </c>
      <c r="G53">
        <f t="shared" si="3"/>
        <v>4.7167045386615584E-2</v>
      </c>
      <c r="H53">
        <f t="shared" si="4"/>
        <v>1.4384238004406786E-2</v>
      </c>
      <c r="I53">
        <f t="shared" si="5"/>
        <v>7.9237724464971154E-2</v>
      </c>
    </row>
    <row r="54" spans="1:9" x14ac:dyDescent="0.3">
      <c r="A54" s="2">
        <v>45809</v>
      </c>
      <c r="B54">
        <v>612.52</v>
      </c>
      <c r="C54">
        <v>96.63</v>
      </c>
      <c r="D54">
        <v>495.67</v>
      </c>
      <c r="G54">
        <f t="shared" si="3"/>
        <v>2.5722610779039423E-2</v>
      </c>
      <c r="H54">
        <f t="shared" si="4"/>
        <v>-2.5905407990304964E-3</v>
      </c>
      <c r="I54">
        <f t="shared" si="5"/>
        <v>7.0037375936367219E-2</v>
      </c>
    </row>
    <row r="55" spans="1:9" x14ac:dyDescent="0.3">
      <c r="A55" s="2">
        <v>45839</v>
      </c>
      <c r="B55">
        <v>628.48</v>
      </c>
      <c r="C55">
        <v>96.38</v>
      </c>
      <c r="D55">
        <v>531.63</v>
      </c>
      <c r="G55">
        <f t="shared" si="3"/>
        <v>2.030230775437996E-2</v>
      </c>
      <c r="H55">
        <f t="shared" si="4"/>
        <v>1.1758773960829503E-2</v>
      </c>
      <c r="I55">
        <f t="shared" si="5"/>
        <v>-5.1567563084468596E-2</v>
      </c>
    </row>
    <row r="56" spans="1:9" x14ac:dyDescent="0.3">
      <c r="A56" s="1">
        <v>45870</v>
      </c>
      <c r="B56">
        <v>641.37</v>
      </c>
      <c r="C56">
        <v>97.52</v>
      </c>
      <c r="D56">
        <v>504.91</v>
      </c>
      <c r="G56">
        <f t="shared" si="3"/>
        <v>3.2232895898083626E-2</v>
      </c>
      <c r="H56">
        <f t="shared" si="4"/>
        <v>1.1216595622964029E-2</v>
      </c>
      <c r="I56">
        <f t="shared" si="5"/>
        <v>2.3623993469725615E-2</v>
      </c>
    </row>
    <row r="57" spans="1:9" x14ac:dyDescent="0.3">
      <c r="A57" s="2">
        <v>45901</v>
      </c>
      <c r="B57">
        <v>662.38</v>
      </c>
      <c r="C57">
        <v>98.62</v>
      </c>
      <c r="D57">
        <v>516.98</v>
      </c>
      <c r="G57">
        <f>LN(B58/B57)</f>
        <v>2.6326915500252349E-2</v>
      </c>
      <c r="H57">
        <f t="shared" si="4"/>
        <v>6.1663071301701709E-3</v>
      </c>
      <c r="I57">
        <f t="shared" si="5"/>
        <v>-2.7084018660070483E-4</v>
      </c>
    </row>
    <row r="58" spans="1:9" x14ac:dyDescent="0.3">
      <c r="A58" s="2">
        <v>45931</v>
      </c>
      <c r="B58">
        <v>680.05</v>
      </c>
      <c r="C58">
        <v>99.23</v>
      </c>
      <c r="D58">
        <v>516.84</v>
      </c>
      <c r="G58">
        <f t="shared" si="3"/>
        <v>1.9538285818591983E-3</v>
      </c>
      <c r="H58">
        <f t="shared" si="4"/>
        <v>6.0283514221836374E-3</v>
      </c>
      <c r="I58">
        <f t="shared" si="5"/>
        <v>-5.1105938467777445E-2</v>
      </c>
    </row>
    <row r="59" spans="1:9" x14ac:dyDescent="0.3">
      <c r="A59" s="1">
        <v>45962</v>
      </c>
      <c r="B59">
        <v>681.38</v>
      </c>
      <c r="C59">
        <v>99.83</v>
      </c>
      <c r="D59">
        <v>491.09</v>
      </c>
      <c r="G59">
        <f t="shared" si="3"/>
        <v>-2.1597169910691086E-3</v>
      </c>
      <c r="H59">
        <f t="shared" si="4"/>
        <v>-6.0283514221836088E-3</v>
      </c>
      <c r="I59">
        <f t="shared" si="5"/>
        <v>-1.5327936007791318E-2</v>
      </c>
    </row>
    <row r="60" spans="1:9" x14ac:dyDescent="0.3">
      <c r="A60" s="2">
        <v>45992</v>
      </c>
      <c r="B60">
        <v>679.91</v>
      </c>
      <c r="C60">
        <v>99.23</v>
      </c>
      <c r="D60">
        <v>483.62</v>
      </c>
      <c r="G60">
        <f t="shared" si="3"/>
        <v>1.4122280139170008E-2</v>
      </c>
      <c r="H60">
        <f t="shared" si="4"/>
        <v>8.9290786374232288E-3</v>
      </c>
      <c r="I60">
        <f t="shared" si="5"/>
        <v>-3.102089799353904E-4</v>
      </c>
    </row>
    <row r="61" spans="1:9" x14ac:dyDescent="0.3">
      <c r="A61" s="2">
        <v>46023</v>
      </c>
      <c r="B61">
        <v>689.58</v>
      </c>
      <c r="C61">
        <v>100.12</v>
      </c>
      <c r="D61">
        <v>483.47</v>
      </c>
      <c r="G61" t="e">
        <f>LN(B62/B61)</f>
        <v>#NUM!</v>
      </c>
      <c r="H61" t="e">
        <f>LN(#REF!/C61)</f>
        <v>#REF!</v>
      </c>
      <c r="I61" t="e">
        <f>LN(#REF!/D61)</f>
        <v>#REF!</v>
      </c>
    </row>
  </sheetData>
  <sortState xmlns:xlrd2="http://schemas.microsoft.com/office/spreadsheetml/2017/richdata2" ref="A2:I61">
    <sortCondition ref="A2:A6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BE2D0-A0BD-4543-B815-5CFC3B1B283F}">
  <dimension ref="A1:I26"/>
  <sheetViews>
    <sheetView topLeftCell="A13" zoomScale="142" zoomScaleNormal="150" workbookViewId="0">
      <selection activeCell="C25" sqref="C25"/>
    </sheetView>
  </sheetViews>
  <sheetFormatPr defaultRowHeight="14.4" x14ac:dyDescent="0.3"/>
  <cols>
    <col min="1" max="1" width="10.77734375" customWidth="1"/>
    <col min="2" max="2" width="10.5546875" customWidth="1"/>
    <col min="5" max="5" width="8.88671875" customWidth="1"/>
    <col min="6" max="6" width="9.88671875" customWidth="1"/>
  </cols>
  <sheetData>
    <row r="1" spans="1:9" x14ac:dyDescent="0.3">
      <c r="A1" s="8" t="s">
        <v>7</v>
      </c>
      <c r="B1" s="8"/>
      <c r="C1" s="8"/>
      <c r="E1" s="8" t="s">
        <v>8</v>
      </c>
      <c r="F1" s="8"/>
      <c r="G1" s="8"/>
    </row>
    <row r="2" spans="1:9" x14ac:dyDescent="0.3">
      <c r="A2" t="s">
        <v>4</v>
      </c>
      <c r="B2" t="s">
        <v>5</v>
      </c>
      <c r="C2" t="s">
        <v>6</v>
      </c>
      <c r="E2" t="s">
        <v>4</v>
      </c>
      <c r="F2" t="s">
        <v>5</v>
      </c>
      <c r="G2" t="s">
        <v>6</v>
      </c>
    </row>
    <row r="3" spans="1:9" x14ac:dyDescent="0.3">
      <c r="A3">
        <f>AVERAGE(Data!G2:G60)</f>
        <v>1.1250778429323233E-2</v>
      </c>
      <c r="B3">
        <f>AVERAGE(Data!H2:H60)</f>
        <v>1.1721334867104069E-4</v>
      </c>
      <c r="C3">
        <f>AVERAGE(Data!I2:I60)</f>
        <v>1.3117070916255764E-2</v>
      </c>
      <c r="E3">
        <f>_xlfn.STDEV.S(Data!G2:G60)</f>
        <v>4.4535798373686999E-2</v>
      </c>
      <c r="F3">
        <f>_xlfn.STDEV.S(Data!H2:H60)</f>
        <v>1.8977370952009368E-2</v>
      </c>
      <c r="G3">
        <f>_xlfn.STDEV.S(Data!I2:I60)</f>
        <v>6.3327450910726321E-2</v>
      </c>
    </row>
    <row r="6" spans="1:9" x14ac:dyDescent="0.3">
      <c r="A6" s="8" t="s">
        <v>10</v>
      </c>
      <c r="B6" s="8"/>
      <c r="C6" s="8"/>
      <c r="E6" s="8" t="s">
        <v>11</v>
      </c>
      <c r="F6" s="8"/>
      <c r="G6" s="8"/>
    </row>
    <row r="7" spans="1:9" x14ac:dyDescent="0.3">
      <c r="A7" t="s">
        <v>4</v>
      </c>
      <c r="B7" t="s">
        <v>5</v>
      </c>
      <c r="C7" t="s">
        <v>6</v>
      </c>
      <c r="E7" t="s">
        <v>4</v>
      </c>
      <c r="F7" t="s">
        <v>5</v>
      </c>
      <c r="G7" t="s">
        <v>6</v>
      </c>
    </row>
    <row r="8" spans="1:9" x14ac:dyDescent="0.3">
      <c r="A8">
        <f>AVERAGE(Data!G2:G60)*12</f>
        <v>0.13500934115187879</v>
      </c>
      <c r="B8">
        <f>AVERAGE(Data!H2:H60)*12</f>
        <v>1.4065601840524884E-3</v>
      </c>
      <c r="C8">
        <f>AVERAGE(Data!I2:I60)*12</f>
        <v>0.15740485099506918</v>
      </c>
      <c r="E8">
        <f>_xlfn.STDEV.S(Data!G2:G60)*SQRT(12)</f>
        <v>0.1542765310777385</v>
      </c>
      <c r="F8">
        <f>_xlfn.STDEV.S(Data!H2:H60)*SQRT(12)</f>
        <v>6.5739541365923956E-2</v>
      </c>
      <c r="G8">
        <f>_xlfn.STDEV.S(Data!I2:I60)*SQRT(12)</f>
        <v>0.2193727249824039</v>
      </c>
    </row>
    <row r="11" spans="1:9" x14ac:dyDescent="0.3">
      <c r="A11" s="8" t="s">
        <v>12</v>
      </c>
      <c r="B11" s="8"/>
      <c r="C11" s="8"/>
      <c r="D11" s="8"/>
      <c r="F11" s="8" t="s">
        <v>13</v>
      </c>
      <c r="G11" s="8"/>
      <c r="H11" s="8"/>
      <c r="I11" s="8"/>
    </row>
    <row r="12" spans="1:9" x14ac:dyDescent="0.3">
      <c r="B12" t="s">
        <v>4</v>
      </c>
      <c r="C12" t="s">
        <v>5</v>
      </c>
      <c r="D12" t="s">
        <v>6</v>
      </c>
      <c r="G12" t="s">
        <v>4</v>
      </c>
      <c r="H12" t="s">
        <v>5</v>
      </c>
      <c r="I12" t="s">
        <v>6</v>
      </c>
    </row>
    <row r="13" spans="1:9" x14ac:dyDescent="0.3">
      <c r="A13" t="s">
        <v>4</v>
      </c>
      <c r="B13">
        <f>CORREL(Data!G2:G60, Data!G2:G60)</f>
        <v>1</v>
      </c>
      <c r="C13">
        <f>CORREL(Data!G2:G60, Data!H2:H60)</f>
        <v>0.6355304448680853</v>
      </c>
      <c r="D13">
        <f>CORREL(Data!G2:G60, Data!I2:I60)</f>
        <v>0.73763330770695212</v>
      </c>
      <c r="F13" t="s">
        <v>4</v>
      </c>
      <c r="G13">
        <f>(E3)^2</f>
        <v>1.9834373367817017E-3</v>
      </c>
      <c r="H13">
        <f>C13*E3*F3</f>
        <v>5.371327699965541E-4</v>
      </c>
      <c r="I13">
        <f>D13*E3*G3</f>
        <v>2.080375679513388E-3</v>
      </c>
    </row>
    <row r="14" spans="1:9" x14ac:dyDescent="0.3">
      <c r="A14" t="s">
        <v>5</v>
      </c>
      <c r="B14">
        <f>CORREL(Data!H2:H60, Data!G2:G60)</f>
        <v>0.6355304448680853</v>
      </c>
      <c r="C14">
        <f>CORREL(Data!H2:H60, Data!H2:H60)</f>
        <v>1.0000000000000002</v>
      </c>
      <c r="D14">
        <f>CORREL(Data!H2:H60, Data!I2:I60)</f>
        <v>0.4738959040080582</v>
      </c>
      <c r="F14" t="s">
        <v>5</v>
      </c>
      <c r="G14">
        <f>C13*E3*F3</f>
        <v>5.371327699965541E-4</v>
      </c>
      <c r="H14">
        <f>(F3)^2</f>
        <v>3.6014060825016893E-4</v>
      </c>
      <c r="I14">
        <f>D14*F3*G3</f>
        <v>5.695226606083182E-4</v>
      </c>
    </row>
    <row r="15" spans="1:9" x14ac:dyDescent="0.3">
      <c r="A15" t="s">
        <v>6</v>
      </c>
      <c r="B15">
        <f>CORREL(Data!I2:I60, Data!G2:G60)</f>
        <v>0.73763330770695212</v>
      </c>
      <c r="C15">
        <f>CORREL(Data!I2:I60, Data!H2:H60)</f>
        <v>0.4738959040080582</v>
      </c>
      <c r="D15">
        <f>CORREL(Data!I2:I60, Data!I2:I60)</f>
        <v>1</v>
      </c>
      <c r="F15" t="s">
        <v>6</v>
      </c>
      <c r="G15">
        <f>D13*E3*G3</f>
        <v>2.080375679513388E-3</v>
      </c>
      <c r="H15">
        <f>D14*F3*G3</f>
        <v>5.695226606083182E-4</v>
      </c>
      <c r="I15">
        <f>(G3)^2</f>
        <v>4.010366038850452E-3</v>
      </c>
    </row>
    <row r="19" spans="1:3" x14ac:dyDescent="0.3">
      <c r="A19" s="4" t="s">
        <v>14</v>
      </c>
      <c r="B19" s="4" t="s">
        <v>15</v>
      </c>
    </row>
    <row r="20" spans="1:3" x14ac:dyDescent="0.3">
      <c r="A20" t="s">
        <v>4</v>
      </c>
      <c r="B20">
        <v>0.35</v>
      </c>
    </row>
    <row r="21" spans="1:3" x14ac:dyDescent="0.3">
      <c r="A21" t="s">
        <v>5</v>
      </c>
      <c r="B21">
        <v>0.25</v>
      </c>
    </row>
    <row r="22" spans="1:3" x14ac:dyDescent="0.3">
      <c r="A22" t="s">
        <v>6</v>
      </c>
      <c r="B22" s="5">
        <v>0.4</v>
      </c>
    </row>
    <row r="25" spans="1:3" x14ac:dyDescent="0.3">
      <c r="A25" s="8" t="s">
        <v>16</v>
      </c>
      <c r="B25" s="8"/>
      <c r="C25" cm="1">
        <f t="array" ref="C25">MMULT(MMULT(TRANSPOSE(B20:B22), G13:I15), B20:B22)</f>
        <v>1.6975463851222757E-3</v>
      </c>
    </row>
    <row r="26" spans="1:3" x14ac:dyDescent="0.3">
      <c r="A26" s="8" t="s">
        <v>17</v>
      </c>
      <c r="B26" s="8"/>
      <c r="C26">
        <f>SQRT(C25)</f>
        <v>4.1201291061352383E-2</v>
      </c>
    </row>
  </sheetData>
  <mergeCells count="8">
    <mergeCell ref="A11:D11"/>
    <mergeCell ref="F11:I11"/>
    <mergeCell ref="A25:B25"/>
    <mergeCell ref="A26:B26"/>
    <mergeCell ref="A1:C1"/>
    <mergeCell ref="E1:G1"/>
    <mergeCell ref="A6:C6"/>
    <mergeCell ref="E6:G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BEED1-741D-405C-87EC-01F289E4EDCE}">
  <dimension ref="A1:E25"/>
  <sheetViews>
    <sheetView tabSelected="1" topLeftCell="A5" zoomScale="66" zoomScaleNormal="132" workbookViewId="0">
      <selection activeCell="H30" sqref="H30"/>
    </sheetView>
  </sheetViews>
  <sheetFormatPr defaultRowHeight="14.4" x14ac:dyDescent="0.3"/>
  <cols>
    <col min="1" max="1" width="13.109375" customWidth="1"/>
    <col min="2" max="2" width="14.33203125" customWidth="1"/>
    <col min="3" max="3" width="18.77734375" customWidth="1"/>
  </cols>
  <sheetData>
    <row r="1" spans="1:5" x14ac:dyDescent="0.3">
      <c r="A1" s="8" t="s">
        <v>18</v>
      </c>
      <c r="B1" s="8"/>
      <c r="C1" s="8"/>
    </row>
    <row r="2" spans="1:5" x14ac:dyDescent="0.3">
      <c r="A2" t="s">
        <v>19</v>
      </c>
      <c r="B2" t="s">
        <v>10</v>
      </c>
      <c r="C2" t="s">
        <v>21</v>
      </c>
    </row>
    <row r="3" spans="1:5" x14ac:dyDescent="0.3">
      <c r="A3" t="s">
        <v>4</v>
      </c>
      <c r="B3" s="6">
        <f>Stats!A8</f>
        <v>0.13500934115187879</v>
      </c>
      <c r="C3" s="7">
        <f>Stats!E8</f>
        <v>0.1542765310777385</v>
      </c>
    </row>
    <row r="4" spans="1:5" x14ac:dyDescent="0.3">
      <c r="A4" t="s">
        <v>5</v>
      </c>
      <c r="B4" s="6">
        <f>Stats!B8</f>
        <v>1.4065601840524884E-3</v>
      </c>
      <c r="C4" s="6">
        <f>Stats!F8</f>
        <v>6.5739541365923956E-2</v>
      </c>
    </row>
    <row r="5" spans="1:5" x14ac:dyDescent="0.3">
      <c r="A5" t="s">
        <v>6</v>
      </c>
      <c r="B5" s="7">
        <f>Stats!C8</f>
        <v>0.15740485099506918</v>
      </c>
      <c r="C5" s="7">
        <f>Stats!G8</f>
        <v>0.2193727249824039</v>
      </c>
    </row>
    <row r="6" spans="1:5" x14ac:dyDescent="0.3">
      <c r="A6" t="s">
        <v>20</v>
      </c>
      <c r="B6" s="7">
        <f>Stats!C25</f>
        <v>1.6975463851222757E-3</v>
      </c>
      <c r="C6" s="7">
        <f>Stats!C26</f>
        <v>4.1201291061352383E-2</v>
      </c>
    </row>
    <row r="12" spans="1:5" x14ac:dyDescent="0.3">
      <c r="A12" s="9" t="s">
        <v>22</v>
      </c>
      <c r="B12" s="9"/>
      <c r="C12" s="9"/>
      <c r="D12" s="9"/>
      <c r="E12" s="9"/>
    </row>
    <row r="13" spans="1:5" x14ac:dyDescent="0.3">
      <c r="A13" s="9"/>
      <c r="B13" s="9"/>
      <c r="C13" s="9"/>
      <c r="D13" s="9"/>
      <c r="E13" s="9"/>
    </row>
    <row r="14" spans="1:5" x14ac:dyDescent="0.3">
      <c r="A14" s="9"/>
      <c r="B14" s="9"/>
      <c r="C14" s="9"/>
      <c r="D14" s="9"/>
      <c r="E14" s="9"/>
    </row>
    <row r="15" spans="1:5" x14ac:dyDescent="0.3">
      <c r="A15" s="9"/>
      <c r="B15" s="9"/>
      <c r="C15" s="9"/>
      <c r="D15" s="9"/>
      <c r="E15" s="9"/>
    </row>
    <row r="16" spans="1:5" x14ac:dyDescent="0.3">
      <c r="A16" s="9"/>
      <c r="B16" s="9"/>
      <c r="C16" s="9"/>
      <c r="D16" s="9"/>
      <c r="E16" s="9"/>
    </row>
    <row r="17" spans="1:5" x14ac:dyDescent="0.3">
      <c r="A17" s="9"/>
      <c r="B17" s="9"/>
      <c r="C17" s="9"/>
      <c r="D17" s="9"/>
      <c r="E17" s="9"/>
    </row>
    <row r="18" spans="1:5" x14ac:dyDescent="0.3">
      <c r="A18" s="9"/>
      <c r="B18" s="9"/>
      <c r="C18" s="9"/>
      <c r="D18" s="9"/>
      <c r="E18" s="9"/>
    </row>
    <row r="19" spans="1:5" x14ac:dyDescent="0.3">
      <c r="A19" s="9"/>
      <c r="B19" s="9"/>
      <c r="C19" s="9"/>
      <c r="D19" s="9"/>
      <c r="E19" s="9"/>
    </row>
    <row r="20" spans="1:5" x14ac:dyDescent="0.3">
      <c r="A20" s="9"/>
      <c r="B20" s="9"/>
      <c r="C20" s="9"/>
      <c r="D20" s="9"/>
      <c r="E20" s="9"/>
    </row>
    <row r="21" spans="1:5" x14ac:dyDescent="0.3">
      <c r="A21" s="9"/>
      <c r="B21" s="9"/>
      <c r="C21" s="9"/>
      <c r="D21" s="9"/>
      <c r="E21" s="9"/>
    </row>
    <row r="22" spans="1:5" x14ac:dyDescent="0.3">
      <c r="A22" s="9"/>
      <c r="B22" s="9"/>
      <c r="C22" s="9"/>
      <c r="D22" s="9"/>
      <c r="E22" s="9"/>
    </row>
    <row r="23" spans="1:5" x14ac:dyDescent="0.3">
      <c r="A23" s="9"/>
      <c r="B23" s="9"/>
      <c r="C23" s="9"/>
      <c r="D23" s="9"/>
      <c r="E23" s="9"/>
    </row>
    <row r="24" spans="1:5" x14ac:dyDescent="0.3">
      <c r="A24" s="9"/>
      <c r="B24" s="9"/>
      <c r="C24" s="9"/>
      <c r="D24" s="9"/>
      <c r="E24" s="9"/>
    </row>
    <row r="25" spans="1:5" x14ac:dyDescent="0.3">
      <c r="A25" s="9"/>
      <c r="B25" s="9"/>
      <c r="C25" s="9"/>
      <c r="D25" s="9"/>
      <c r="E25" s="9"/>
    </row>
  </sheetData>
  <mergeCells count="2">
    <mergeCell ref="A1:C1"/>
    <mergeCell ref="A12:E2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Stats</vt:lpstr>
      <vt:lpstr>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Saron Berhanu</dc:creator>
  <cp:lastModifiedBy>Saron Berhanu</cp:lastModifiedBy>
  <dcterms:created xsi:type="dcterms:W3CDTF">2026-01-08T01:16:08Z</dcterms:created>
  <dcterms:modified xsi:type="dcterms:W3CDTF">2026-01-13T05:08:43Z</dcterms:modified>
</cp:coreProperties>
</file>