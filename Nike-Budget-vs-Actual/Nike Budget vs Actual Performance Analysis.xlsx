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ron\Downloads\"/>
    </mc:Choice>
  </mc:AlternateContent>
  <xr:revisionPtr revIDLastSave="0" documentId="8_{01AFDB91-FF22-471F-B871-18CBD217F8DD}" xr6:coauthVersionLast="47" xr6:coauthVersionMax="47" xr10:uidLastSave="{00000000-0000-0000-0000-000000000000}"/>
  <bookViews>
    <workbookView xWindow="5568" yWindow="996" windowWidth="12612" windowHeight="10524" xr2:uid="{1ACD2361-070A-49FA-89B7-C0D182D984AC}"/>
  </bookViews>
  <sheets>
    <sheet name="Budget vs Actual Analysis" sheetId="1" r:id="rId1"/>
    <sheet name="Project Overview"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 l="1"/>
  <c r="B22" i="1"/>
  <c r="F22" i="1" s="1"/>
  <c r="B21" i="1"/>
  <c r="F21" i="1" s="1"/>
  <c r="B20" i="1"/>
  <c r="F20" i="1" s="1"/>
  <c r="B19" i="1"/>
  <c r="F19" i="1" s="1"/>
  <c r="B18" i="1"/>
  <c r="F18" i="1" s="1"/>
  <c r="B17" i="1"/>
  <c r="F17" i="1" s="1"/>
  <c r="B16" i="1"/>
  <c r="F16" i="1" s="1"/>
  <c r="B15" i="1"/>
  <c r="F15" i="1" s="1"/>
  <c r="B14" i="1"/>
  <c r="F14" i="1" s="1"/>
  <c r="B13" i="1"/>
  <c r="F13" i="1" s="1"/>
  <c r="B12" i="1"/>
  <c r="F12" i="1" s="1"/>
  <c r="F11" i="1"/>
  <c r="C6" i="1"/>
  <c r="C22" i="1" s="1"/>
  <c r="G22" i="1" s="1"/>
  <c r="C5" i="1"/>
  <c r="C19" i="1" s="1"/>
  <c r="C4" i="1"/>
  <c r="C15" i="1" s="1"/>
  <c r="G15" i="1" s="1"/>
  <c r="C3" i="1"/>
  <c r="C13" i="1" s="1"/>
  <c r="G13" i="1" s="1"/>
  <c r="J11" i="1" l="1"/>
  <c r="J22" i="1"/>
  <c r="G19" i="1"/>
  <c r="K19" i="1" s="1"/>
  <c r="J21" i="1"/>
  <c r="K13" i="1"/>
  <c r="J20" i="1"/>
  <c r="J19" i="1"/>
  <c r="J18" i="1"/>
  <c r="J17" i="1"/>
  <c r="K15" i="1"/>
  <c r="J16" i="1"/>
  <c r="J15" i="1"/>
  <c r="J14" i="1"/>
  <c r="J13" i="1"/>
  <c r="J12" i="1"/>
  <c r="K22" i="1"/>
  <c r="C16" i="1"/>
  <c r="C11" i="1"/>
  <c r="C12" i="1"/>
  <c r="C14" i="1"/>
  <c r="C17" i="1"/>
  <c r="C18" i="1"/>
  <c r="C20" i="1"/>
  <c r="C21" i="1"/>
  <c r="G21" i="1" l="1"/>
  <c r="K21" i="1"/>
  <c r="G18" i="1"/>
  <c r="K18" i="1"/>
  <c r="G12" i="1"/>
  <c r="K12" i="1"/>
  <c r="G17" i="1"/>
  <c r="K17" i="1"/>
  <c r="G11" i="1"/>
  <c r="K11" i="1"/>
  <c r="G20" i="1"/>
  <c r="K20" i="1"/>
  <c r="G14" i="1"/>
  <c r="K14" i="1"/>
  <c r="G16" i="1"/>
  <c r="K16" i="1"/>
</calcChain>
</file>

<file path=xl/sharedStrings.xml><?xml version="1.0" encoding="utf-8"?>
<sst xmlns="http://schemas.openxmlformats.org/spreadsheetml/2006/main" count="64" uniqueCount="39">
  <si>
    <t>Quarter</t>
  </si>
  <si>
    <t>Revenue</t>
  </si>
  <si>
    <t>Operating Income</t>
  </si>
  <si>
    <t>Q1  FY24</t>
  </si>
  <si>
    <t>Q2 FY24</t>
  </si>
  <si>
    <t>Q3 FY24</t>
  </si>
  <si>
    <t>Q4 FY24</t>
  </si>
  <si>
    <t>Months</t>
  </si>
  <si>
    <t>June 23</t>
  </si>
  <si>
    <t>July 23</t>
  </si>
  <si>
    <t>August 23</t>
  </si>
  <si>
    <t>September 23</t>
  </si>
  <si>
    <t>October 23</t>
  </si>
  <si>
    <t>November 23</t>
  </si>
  <si>
    <t>December 23</t>
  </si>
  <si>
    <t>January 24</t>
  </si>
  <si>
    <t>February 24</t>
  </si>
  <si>
    <t>March 24</t>
  </si>
  <si>
    <t>April 24</t>
  </si>
  <si>
    <t>May 24</t>
  </si>
  <si>
    <t>Gross Profit</t>
  </si>
  <si>
    <t>Selling and administrative expense</t>
  </si>
  <si>
    <t>Operating income calculated as Gross Profit minus Total Selling and Administrative Expenses from Nike FY 2024 quarterly income statements</t>
  </si>
  <si>
    <t>NIKE QUARTERLY FY24</t>
  </si>
  <si>
    <t>NIKE BUDGET MONTHLY</t>
  </si>
  <si>
    <t>Month</t>
  </si>
  <si>
    <t>NIKE ACTUAL MONTHS</t>
  </si>
  <si>
    <t>Budget Operating Income $M</t>
  </si>
  <si>
    <t>Operating Income $M</t>
  </si>
  <si>
    <t>NIKEVARIANCE MONTHLY</t>
  </si>
  <si>
    <t>Revenue Variance</t>
  </si>
  <si>
    <t>assumed conservative but optimistic budget targets, and the variance analysis shows that Nike underperformed budget across most months, particularly in operating income</t>
  </si>
  <si>
    <t>Budget Revenue $M</t>
  </si>
  <si>
    <t>Column1</t>
  </si>
  <si>
    <t>Column2</t>
  </si>
  <si>
    <t>Operating Variance Net Income</t>
  </si>
  <si>
    <t>Column3</t>
  </si>
  <si>
    <t>Revenue $M</t>
  </si>
  <si>
    <t>Project Overview
This project analyzes Nike’s financial performance by comparing actual results against budgeted expectations for fiscal year 2024, with a focus on revenue and operating income trends. The objective of the analysis is to evaluate how closely actual performance aligned with internal targets and to identify whether deviations from budget reflect temporary fluctuations or sustained trends.
Quarterly actual and budgeted figures sourced from Nike’s financial disclosures were structured in Excel and allocated evenly across months to create a consistent monthly view. This approach enables clearer trend analysis and allows for meaningful comparison between budgeted and actual results over time. Excel was used to organize the data, calculate variances, and prepare structured inputs for visualization.
Power BI was then used to develop an interactive dashboard that highlights monthly revenue and operating income performance, clearly illustrating the gap between budgeted and actual outcomes. The results show that actual revenue and operating income consistently trailed budget throughout FY 2024, suggesting ongoing performance pressure rather than isolated short-term volatility. Together, the Excel model and Power BI dashboard provide a clear, management ready view of financial performance and support ongoing variance analysis and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</si>
</sst>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sz val="8"/>
      <name val="Aptos Narrow"/>
      <family val="2"/>
      <scheme val="minor"/>
    </font>
    <font>
      <sz val="11"/>
      <color theme="1"/>
      <name val="Aptos Display"/>
      <family val="2"/>
      <scheme val="major"/>
    </font>
    <font>
      <b/>
      <sz val="11"/>
      <color theme="1"/>
      <name val="Aptos Narrow"/>
      <family val="2"/>
      <scheme val="minor"/>
    </font>
  </fonts>
  <fills count="8">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4" tint="0.79998168889431442"/>
        <bgColor indexed="64"/>
      </patternFill>
    </fill>
    <fill>
      <patternFill patternType="solid">
        <fgColor theme="0" tint="-0.14999847407452621"/>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0" fontId="0" fillId="2" borderId="0" xfId="0" applyFill="1"/>
    <xf numFmtId="0" fontId="2" fillId="0" borderId="0" xfId="0" applyFont="1"/>
    <xf numFmtId="0" fontId="2" fillId="3" borderId="0" xfId="0" applyFont="1" applyFill="1"/>
    <xf numFmtId="164" fontId="0" fillId="0" borderId="0" xfId="0" applyNumberFormat="1"/>
    <xf numFmtId="1" fontId="0" fillId="0" borderId="0" xfId="0" applyNumberFormat="1"/>
    <xf numFmtId="49" fontId="0" fillId="4" borderId="0" xfId="0" applyNumberFormat="1" applyFill="1"/>
    <xf numFmtId="49" fontId="0" fillId="5" borderId="0" xfId="0" applyNumberFormat="1" applyFill="1"/>
    <xf numFmtId="49" fontId="0" fillId="6" borderId="0" xfId="0" applyNumberFormat="1" applyFill="1"/>
    <xf numFmtId="49" fontId="0" fillId="7" borderId="0" xfId="0" applyNumberFormat="1" applyFill="1"/>
    <xf numFmtId="0" fontId="0" fillId="7" borderId="0" xfId="0" applyFill="1"/>
    <xf numFmtId="2" fontId="0" fillId="0" borderId="0" xfId="0" applyNumberFormat="1"/>
    <xf numFmtId="0" fontId="3" fillId="2" borderId="0" xfId="0" applyFont="1" applyFill="1" applyAlignment="1">
      <alignment horizontal="center"/>
    </xf>
    <xf numFmtId="0" fontId="0" fillId="7" borderId="0" xfId="0" applyFill="1" applyAlignment="1">
      <alignment horizontal="center"/>
    </xf>
    <xf numFmtId="49" fontId="3" fillId="7" borderId="0" xfId="0" applyNumberFormat="1" applyFont="1" applyFill="1" applyAlignment="1">
      <alignment horizontal="center"/>
    </xf>
    <xf numFmtId="0" fontId="3" fillId="7" borderId="1"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0" fillId="0" borderId="0" xfId="0" applyAlignment="1">
      <alignment wrapText="1"/>
    </xf>
  </cellXfs>
  <cellStyles count="1">
    <cellStyle name="Normal" xfId="0" builtinId="0"/>
  </cellStyles>
  <dxfs count="4">
    <dxf>
      <numFmt numFmtId="1" formatCode="0"/>
    </dxf>
    <dxf>
      <numFmt numFmtId="164" formatCode="0.0"/>
    </dxf>
    <dxf>
      <numFmt numFmtId="30" formatCode="@"/>
      <fill>
        <patternFill patternType="solid">
          <fgColor indexed="64"/>
          <bgColor theme="0" tint="-0.14999847407452621"/>
        </patternFill>
      </fill>
    </dxf>
    <dxf>
      <font>
        <strike val="0"/>
        <outline val="0"/>
        <shadow val="0"/>
        <u val="none"/>
        <vertAlign val="baseline"/>
        <sz val="11"/>
        <color theme="1"/>
        <name val="Aptos Narrow"/>
        <family val="2"/>
        <scheme val="minor"/>
      </font>
      <fill>
        <patternFill patternType="solid">
          <fgColor indexed="64"/>
          <bgColor theme="0" tint="-0.149998474074526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5431E0-6F03-4CB7-9EB0-B0CD38DA6B0F}" name="Table1" displayName="Table1" ref="I9:K22" totalsRowShown="0" headerRowDxfId="3">
  <autoFilter ref="I9:K22" xr:uid="{6E5431E0-6F03-4CB7-9EB0-B0CD38DA6B0F}"/>
  <tableColumns count="3">
    <tableColumn id="1" xr3:uid="{0317DBFE-7EB5-48C8-94FB-6B918583E26D}" name="Column1" dataDxfId="2"/>
    <tableColumn id="2" xr3:uid="{E3E13941-6E45-468E-94EC-AD7D65D2C08E}" name="Column2" dataDxfId="1">
      <calculatedColumnFormula>B10-F10</calculatedColumnFormula>
    </tableColumn>
    <tableColumn id="3" xr3:uid="{C9F0655D-F1B8-464C-A884-C7F98EB69466}" name="Column3" dataDxfId="0">
      <calculatedColumnFormula>C10-G10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8F40-A4B8-4935-8635-F9CC3E9980CC}">
  <dimension ref="A1:S22"/>
  <sheetViews>
    <sheetView tabSelected="1" topLeftCell="D1" zoomScale="57" zoomScaleNormal="57" workbookViewId="0">
      <selection activeCell="J16" sqref="J16"/>
    </sheetView>
  </sheetViews>
  <sheetFormatPr defaultRowHeight="14.4" x14ac:dyDescent="0.3"/>
  <cols>
    <col min="1" max="1" width="12.21875" customWidth="1"/>
    <col min="2" max="2" width="14.5546875" customWidth="1"/>
    <col min="3" max="3" width="21" customWidth="1"/>
    <col min="5" max="5" width="11.44140625" customWidth="1"/>
    <col min="6" max="6" width="35.21875" customWidth="1"/>
    <col min="7" max="7" width="30.33203125" customWidth="1"/>
    <col min="9" max="9" width="32.109375" customWidth="1"/>
    <col min="10" max="10" width="19.44140625" customWidth="1"/>
    <col min="11" max="11" width="29.44140625" customWidth="1"/>
  </cols>
  <sheetData>
    <row r="1" spans="1:19" x14ac:dyDescent="0.3">
      <c r="A1" s="13" t="s">
        <v>23</v>
      </c>
      <c r="B1" s="13"/>
      <c r="C1" s="13"/>
    </row>
    <row r="2" spans="1:19" x14ac:dyDescent="0.3">
      <c r="A2" s="10" t="s">
        <v>0</v>
      </c>
      <c r="B2" s="10" t="s">
        <v>37</v>
      </c>
      <c r="C2" s="10" t="s">
        <v>28</v>
      </c>
      <c r="E2" s="1" t="s">
        <v>20</v>
      </c>
      <c r="F2" s="1" t="s">
        <v>21</v>
      </c>
      <c r="H2" s="3" t="s">
        <v>22</v>
      </c>
      <c r="I2" s="2"/>
      <c r="J2" s="2"/>
      <c r="K2" s="2"/>
      <c r="L2" s="2"/>
      <c r="M2" s="2"/>
      <c r="N2" s="2"/>
      <c r="O2" s="2"/>
      <c r="P2" s="2"/>
      <c r="Q2" s="2"/>
      <c r="R2" s="2"/>
      <c r="S2" s="2"/>
    </row>
    <row r="3" spans="1:19" x14ac:dyDescent="0.3">
      <c r="A3" t="s">
        <v>3</v>
      </c>
      <c r="B3">
        <v>12939</v>
      </c>
      <c r="C3">
        <f>E3-F3</f>
        <v>1604</v>
      </c>
      <c r="E3">
        <v>5720</v>
      </c>
      <c r="F3">
        <v>4116</v>
      </c>
    </row>
    <row r="4" spans="1:19" x14ac:dyDescent="0.3">
      <c r="A4" t="s">
        <v>4</v>
      </c>
      <c r="B4">
        <v>13338</v>
      </c>
      <c r="C4">
        <f>E4-F4</f>
        <v>1825</v>
      </c>
      <c r="E4">
        <v>5971</v>
      </c>
      <c r="F4">
        <v>4146</v>
      </c>
    </row>
    <row r="5" spans="1:19" x14ac:dyDescent="0.3">
      <c r="A5" t="s">
        <v>5</v>
      </c>
      <c r="B5">
        <v>12429</v>
      </c>
      <c r="C5">
        <f>E5-F5</f>
        <v>2347</v>
      </c>
      <c r="E5">
        <v>5562</v>
      </c>
      <c r="F5">
        <v>3215</v>
      </c>
    </row>
    <row r="6" spans="1:19" x14ac:dyDescent="0.3">
      <c r="A6" t="s">
        <v>6</v>
      </c>
      <c r="B6">
        <v>12606</v>
      </c>
      <c r="C6">
        <f>E6-F6</f>
        <v>1546</v>
      </c>
      <c r="E6">
        <v>5634</v>
      </c>
      <c r="F6">
        <v>4088</v>
      </c>
    </row>
    <row r="8" spans="1:19" x14ac:dyDescent="0.3">
      <c r="I8" s="15" t="s">
        <v>29</v>
      </c>
      <c r="J8" s="16"/>
      <c r="K8" s="17"/>
    </row>
    <row r="9" spans="1:19" x14ac:dyDescent="0.3">
      <c r="A9" s="12" t="s">
        <v>26</v>
      </c>
      <c r="B9" s="12"/>
      <c r="C9" s="12"/>
      <c r="E9" s="14" t="s">
        <v>24</v>
      </c>
      <c r="F9" s="14"/>
      <c r="G9" s="14"/>
      <c r="I9" s="10" t="s">
        <v>33</v>
      </c>
      <c r="J9" s="10" t="s">
        <v>34</v>
      </c>
      <c r="K9" s="10" t="s">
        <v>36</v>
      </c>
      <c r="N9" t="s">
        <v>31</v>
      </c>
    </row>
    <row r="10" spans="1:19" x14ac:dyDescent="0.3">
      <c r="A10" s="1" t="s">
        <v>7</v>
      </c>
      <c r="B10" s="1" t="s">
        <v>1</v>
      </c>
      <c r="C10" s="1" t="s">
        <v>2</v>
      </c>
      <c r="E10" s="9" t="s">
        <v>25</v>
      </c>
      <c r="F10" s="10" t="s">
        <v>32</v>
      </c>
      <c r="G10" s="10" t="s">
        <v>27</v>
      </c>
      <c r="I10" s="10" t="s">
        <v>25</v>
      </c>
      <c r="J10" s="10" t="s">
        <v>30</v>
      </c>
      <c r="K10" s="10" t="s">
        <v>35</v>
      </c>
    </row>
    <row r="11" spans="1:19" x14ac:dyDescent="0.3">
      <c r="A11" s="6" t="s">
        <v>8</v>
      </c>
      <c r="B11" s="4">
        <f>B3/3</f>
        <v>4313</v>
      </c>
      <c r="C11" s="11">
        <f>C3/3</f>
        <v>534.66666666666663</v>
      </c>
      <c r="E11" s="6" t="s">
        <v>8</v>
      </c>
      <c r="F11" s="4">
        <f t="shared" ref="F11:F20" si="0">B11*1.05</f>
        <v>4528.6500000000005</v>
      </c>
      <c r="G11" s="5">
        <f>C11*1.07</f>
        <v>572.09333333333336</v>
      </c>
      <c r="I11" s="6" t="s">
        <v>8</v>
      </c>
      <c r="J11" s="4">
        <f>B11-F11</f>
        <v>-215.65000000000055</v>
      </c>
      <c r="K11" s="5">
        <f>C11-G11</f>
        <v>-37.426666666666733</v>
      </c>
    </row>
    <row r="12" spans="1:19" x14ac:dyDescent="0.3">
      <c r="A12" s="6" t="s">
        <v>9</v>
      </c>
      <c r="B12">
        <f>B3/3</f>
        <v>4313</v>
      </c>
      <c r="C12" s="11">
        <f>C3/3</f>
        <v>534.66666666666663</v>
      </c>
      <c r="E12" s="6" t="s">
        <v>9</v>
      </c>
      <c r="F12" s="4">
        <f t="shared" si="0"/>
        <v>4528.6500000000005</v>
      </c>
      <c r="G12" s="5">
        <f t="shared" ref="G12:G13" si="1">C12*1.07</f>
        <v>572.09333333333336</v>
      </c>
      <c r="I12" s="6" t="s">
        <v>9</v>
      </c>
      <c r="J12" s="4">
        <f t="shared" ref="J12:J13" si="2">B12-F12</f>
        <v>-215.65000000000055</v>
      </c>
      <c r="K12" s="5">
        <f t="shared" ref="K12:K13" si="3">C12-G12</f>
        <v>-37.426666666666733</v>
      </c>
    </row>
    <row r="13" spans="1:19" x14ac:dyDescent="0.3">
      <c r="A13" s="6" t="s">
        <v>10</v>
      </c>
      <c r="B13">
        <f>B3/3</f>
        <v>4313</v>
      </c>
      <c r="C13" s="11">
        <f>C3/3</f>
        <v>534.66666666666663</v>
      </c>
      <c r="E13" s="6" t="s">
        <v>10</v>
      </c>
      <c r="F13" s="4">
        <f t="shared" si="0"/>
        <v>4528.6500000000005</v>
      </c>
      <c r="G13" s="5">
        <f t="shared" si="1"/>
        <v>572.09333333333336</v>
      </c>
      <c r="I13" s="6" t="s">
        <v>10</v>
      </c>
      <c r="J13" s="4">
        <f t="shared" si="2"/>
        <v>-215.65000000000055</v>
      </c>
      <c r="K13" s="5">
        <f t="shared" si="3"/>
        <v>-37.426666666666733</v>
      </c>
    </row>
    <row r="14" spans="1:19" x14ac:dyDescent="0.3">
      <c r="A14" s="7" t="s">
        <v>11</v>
      </c>
      <c r="B14" s="4">
        <f>B4/3</f>
        <v>4446</v>
      </c>
      <c r="C14" s="11">
        <f>C4/3</f>
        <v>608.33333333333337</v>
      </c>
      <c r="E14" s="7" t="s">
        <v>11</v>
      </c>
      <c r="F14" s="4">
        <f t="shared" si="0"/>
        <v>4668.3</v>
      </c>
      <c r="G14" s="5">
        <f>C14*1.07</f>
        <v>650.91666666666674</v>
      </c>
      <c r="I14" s="7" t="s">
        <v>11</v>
      </c>
      <c r="J14" s="4">
        <f>B14-F14</f>
        <v>-222.30000000000018</v>
      </c>
      <c r="K14" s="5">
        <f>C14-G14</f>
        <v>-42.583333333333371</v>
      </c>
    </row>
    <row r="15" spans="1:19" x14ac:dyDescent="0.3">
      <c r="A15" s="7" t="s">
        <v>12</v>
      </c>
      <c r="B15" s="4">
        <f>B4/3</f>
        <v>4446</v>
      </c>
      <c r="C15" s="11">
        <f>C4/3</f>
        <v>608.33333333333337</v>
      </c>
      <c r="E15" s="7" t="s">
        <v>12</v>
      </c>
      <c r="F15" s="4">
        <f t="shared" si="0"/>
        <v>4668.3</v>
      </c>
      <c r="G15" s="5">
        <f t="shared" ref="G15:G16" si="4">C15*1.07</f>
        <v>650.91666666666674</v>
      </c>
      <c r="I15" s="7" t="s">
        <v>12</v>
      </c>
      <c r="J15" s="4">
        <f t="shared" ref="J15:J16" si="5">B15-F15</f>
        <v>-222.30000000000018</v>
      </c>
      <c r="K15" s="5">
        <f t="shared" ref="K15:K16" si="6">C15-G15</f>
        <v>-42.583333333333371</v>
      </c>
    </row>
    <row r="16" spans="1:19" x14ac:dyDescent="0.3">
      <c r="A16" s="7" t="s">
        <v>13</v>
      </c>
      <c r="B16" s="4">
        <f>B4/3</f>
        <v>4446</v>
      </c>
      <c r="C16" s="11">
        <f>C4/3</f>
        <v>608.33333333333337</v>
      </c>
      <c r="E16" s="7" t="s">
        <v>13</v>
      </c>
      <c r="F16" s="4">
        <f t="shared" si="0"/>
        <v>4668.3</v>
      </c>
      <c r="G16" s="5">
        <f t="shared" si="4"/>
        <v>650.91666666666674</v>
      </c>
      <c r="I16" s="7" t="s">
        <v>13</v>
      </c>
      <c r="J16" s="4">
        <f t="shared" si="5"/>
        <v>-222.30000000000018</v>
      </c>
      <c r="K16" s="5">
        <f t="shared" si="6"/>
        <v>-42.583333333333371</v>
      </c>
    </row>
    <row r="17" spans="1:11" x14ac:dyDescent="0.3">
      <c r="A17" s="8" t="s">
        <v>14</v>
      </c>
      <c r="B17" s="4">
        <f>B5/3</f>
        <v>4143</v>
      </c>
      <c r="C17" s="11">
        <f>C5/3</f>
        <v>782.33333333333337</v>
      </c>
      <c r="E17" s="8" t="s">
        <v>14</v>
      </c>
      <c r="F17" s="4">
        <f t="shared" si="0"/>
        <v>4350.1500000000005</v>
      </c>
      <c r="G17" s="5">
        <f>C17*1.07</f>
        <v>837.09666666666681</v>
      </c>
      <c r="I17" s="8" t="s">
        <v>14</v>
      </c>
      <c r="J17" s="4">
        <f>B17-F17</f>
        <v>-207.15000000000055</v>
      </c>
      <c r="K17" s="5">
        <f>C17-G17</f>
        <v>-54.763333333333435</v>
      </c>
    </row>
    <row r="18" spans="1:11" x14ac:dyDescent="0.3">
      <c r="A18" s="8" t="s">
        <v>15</v>
      </c>
      <c r="B18" s="4">
        <f>B5/3</f>
        <v>4143</v>
      </c>
      <c r="C18" s="11">
        <f>C5/3</f>
        <v>782.33333333333337</v>
      </c>
      <c r="E18" s="8" t="s">
        <v>15</v>
      </c>
      <c r="F18" s="4">
        <f t="shared" si="0"/>
        <v>4350.1500000000005</v>
      </c>
      <c r="G18" s="5">
        <f t="shared" ref="G18:G19" si="7">C18*1.07</f>
        <v>837.09666666666681</v>
      </c>
      <c r="I18" s="8" t="s">
        <v>15</v>
      </c>
      <c r="J18" s="4">
        <f t="shared" ref="J18:J19" si="8">B18-F18</f>
        <v>-207.15000000000055</v>
      </c>
      <c r="K18" s="5">
        <f t="shared" ref="K18:K19" si="9">C18-G18</f>
        <v>-54.763333333333435</v>
      </c>
    </row>
    <row r="19" spans="1:11" x14ac:dyDescent="0.3">
      <c r="A19" s="8" t="s">
        <v>16</v>
      </c>
      <c r="B19" s="4">
        <f>B5/3</f>
        <v>4143</v>
      </c>
      <c r="C19" s="11">
        <f>C5/3</f>
        <v>782.33333333333337</v>
      </c>
      <c r="E19" s="8" t="s">
        <v>16</v>
      </c>
      <c r="F19" s="4">
        <f t="shared" si="0"/>
        <v>4350.1500000000005</v>
      </c>
      <c r="G19" s="5">
        <f t="shared" si="7"/>
        <v>837.09666666666681</v>
      </c>
      <c r="I19" s="8" t="s">
        <v>16</v>
      </c>
      <c r="J19" s="4">
        <f t="shared" si="8"/>
        <v>-207.15000000000055</v>
      </c>
      <c r="K19" s="5">
        <f t="shared" si="9"/>
        <v>-54.763333333333435</v>
      </c>
    </row>
    <row r="20" spans="1:11" x14ac:dyDescent="0.3">
      <c r="A20" s="9" t="s">
        <v>17</v>
      </c>
      <c r="B20">
        <f>B6/3</f>
        <v>4202</v>
      </c>
      <c r="C20" s="11">
        <f>C6/3</f>
        <v>515.33333333333337</v>
      </c>
      <c r="E20" s="9" t="s">
        <v>17</v>
      </c>
      <c r="F20" s="4">
        <f t="shared" si="0"/>
        <v>4412.1000000000004</v>
      </c>
      <c r="G20" s="5">
        <f>C20*1.07</f>
        <v>551.40666666666675</v>
      </c>
      <c r="I20" s="9" t="s">
        <v>17</v>
      </c>
      <c r="J20" s="4">
        <f>B20-F20</f>
        <v>-210.10000000000036</v>
      </c>
      <c r="K20" s="5">
        <f>C20-G20</f>
        <v>-36.07333333333338</v>
      </c>
    </row>
    <row r="21" spans="1:11" x14ac:dyDescent="0.3">
      <c r="A21" s="9" t="s">
        <v>18</v>
      </c>
      <c r="B21">
        <f>B6/3</f>
        <v>4202</v>
      </c>
      <c r="C21" s="11">
        <f>C6/3</f>
        <v>515.33333333333337</v>
      </c>
      <c r="E21" s="9" t="s">
        <v>18</v>
      </c>
      <c r="F21" s="4">
        <f t="shared" ref="F21:F22" si="10">B21*1.05</f>
        <v>4412.1000000000004</v>
      </c>
      <c r="G21" s="5">
        <f t="shared" ref="G21:G22" si="11">C21*1.07</f>
        <v>551.40666666666675</v>
      </c>
      <c r="I21" s="9" t="s">
        <v>18</v>
      </c>
      <c r="J21" s="4">
        <f t="shared" ref="J21:J22" si="12">B21-F21</f>
        <v>-210.10000000000036</v>
      </c>
      <c r="K21" s="5">
        <f t="shared" ref="K21:K22" si="13">C21-G21</f>
        <v>-36.07333333333338</v>
      </c>
    </row>
    <row r="22" spans="1:11" x14ac:dyDescent="0.3">
      <c r="A22" s="9" t="s">
        <v>19</v>
      </c>
      <c r="B22">
        <f>B6/3</f>
        <v>4202</v>
      </c>
      <c r="C22" s="11">
        <f>C6/3</f>
        <v>515.33333333333337</v>
      </c>
      <c r="E22" s="9" t="s">
        <v>19</v>
      </c>
      <c r="F22" s="4">
        <f t="shared" si="10"/>
        <v>4412.1000000000004</v>
      </c>
      <c r="G22" s="5">
        <f t="shared" si="11"/>
        <v>551.40666666666675</v>
      </c>
      <c r="I22" s="9" t="s">
        <v>19</v>
      </c>
      <c r="J22" s="4">
        <f t="shared" si="12"/>
        <v>-210.10000000000036</v>
      </c>
      <c r="K22" s="5">
        <f t="shared" si="13"/>
        <v>-36.07333333333338</v>
      </c>
    </row>
  </sheetData>
  <mergeCells count="4">
    <mergeCell ref="A9:C9"/>
    <mergeCell ref="A1:C1"/>
    <mergeCell ref="E9:G9"/>
    <mergeCell ref="I8:K8"/>
  </mergeCells>
  <phoneticPr fontId="1" type="noConversion"/>
  <pageMargins left="0.7" right="0.7" top="0.75" bottom="0.75" header="0.3" footer="0.3"/>
  <ignoredErrors>
    <ignoredError sqref="J10"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8058-4B59-44C3-9159-77889C3FEA4B}">
  <dimension ref="A1:J20"/>
  <sheetViews>
    <sheetView workbookViewId="0">
      <selection activeCell="L9" sqref="L9"/>
    </sheetView>
  </sheetViews>
  <sheetFormatPr defaultRowHeight="14.4" x14ac:dyDescent="0.3"/>
  <sheetData>
    <row r="1" spans="1:10" x14ac:dyDescent="0.3">
      <c r="A1" s="18" t="s">
        <v>38</v>
      </c>
      <c r="B1" s="18"/>
      <c r="C1" s="18"/>
      <c r="D1" s="18"/>
      <c r="E1" s="18"/>
      <c r="F1" s="18"/>
      <c r="G1" s="18"/>
      <c r="H1" s="18"/>
      <c r="I1" s="18"/>
      <c r="J1" s="18"/>
    </row>
    <row r="2" spans="1:10" x14ac:dyDescent="0.3">
      <c r="A2" s="18"/>
      <c r="B2" s="18"/>
      <c r="C2" s="18"/>
      <c r="D2" s="18"/>
      <c r="E2" s="18"/>
      <c r="F2" s="18"/>
      <c r="G2" s="18"/>
      <c r="H2" s="18"/>
      <c r="I2" s="18"/>
      <c r="J2" s="18"/>
    </row>
    <row r="3" spans="1:10" x14ac:dyDescent="0.3">
      <c r="A3" s="18"/>
      <c r="B3" s="18"/>
      <c r="C3" s="18"/>
      <c r="D3" s="18"/>
      <c r="E3" s="18"/>
      <c r="F3" s="18"/>
      <c r="G3" s="18"/>
      <c r="H3" s="18"/>
      <c r="I3" s="18"/>
      <c r="J3" s="18"/>
    </row>
    <row r="4" spans="1:10" x14ac:dyDescent="0.3">
      <c r="A4" s="18"/>
      <c r="B4" s="18"/>
      <c r="C4" s="18"/>
      <c r="D4" s="18"/>
      <c r="E4" s="18"/>
      <c r="F4" s="18"/>
      <c r="G4" s="18"/>
      <c r="H4" s="18"/>
      <c r="I4" s="18"/>
      <c r="J4" s="18"/>
    </row>
    <row r="5" spans="1:10" x14ac:dyDescent="0.3">
      <c r="A5" s="18"/>
      <c r="B5" s="18"/>
      <c r="C5" s="18"/>
      <c r="D5" s="18"/>
      <c r="E5" s="18"/>
      <c r="F5" s="18"/>
      <c r="G5" s="18"/>
      <c r="H5" s="18"/>
      <c r="I5" s="18"/>
      <c r="J5" s="18"/>
    </row>
    <row r="6" spans="1:10" x14ac:dyDescent="0.3">
      <c r="A6" s="18"/>
      <c r="B6" s="18"/>
      <c r="C6" s="18"/>
      <c r="D6" s="18"/>
      <c r="E6" s="18"/>
      <c r="F6" s="18"/>
      <c r="G6" s="18"/>
      <c r="H6" s="18"/>
      <c r="I6" s="18"/>
      <c r="J6" s="18"/>
    </row>
    <row r="7" spans="1:10" x14ac:dyDescent="0.3">
      <c r="A7" s="18"/>
      <c r="B7" s="18"/>
      <c r="C7" s="18"/>
      <c r="D7" s="18"/>
      <c r="E7" s="18"/>
      <c r="F7" s="18"/>
      <c r="G7" s="18"/>
      <c r="H7" s="18"/>
      <c r="I7" s="18"/>
      <c r="J7" s="18"/>
    </row>
    <row r="8" spans="1:10" x14ac:dyDescent="0.3">
      <c r="A8" s="18"/>
      <c r="B8" s="18"/>
      <c r="C8" s="18"/>
      <c r="D8" s="18"/>
      <c r="E8" s="18"/>
      <c r="F8" s="18"/>
      <c r="G8" s="18"/>
      <c r="H8" s="18"/>
      <c r="I8" s="18"/>
      <c r="J8" s="18"/>
    </row>
    <row r="9" spans="1:10" x14ac:dyDescent="0.3">
      <c r="A9" s="18"/>
      <c r="B9" s="18"/>
      <c r="C9" s="18"/>
      <c r="D9" s="18"/>
      <c r="E9" s="18"/>
      <c r="F9" s="18"/>
      <c r="G9" s="18"/>
      <c r="H9" s="18"/>
      <c r="I9" s="18"/>
      <c r="J9" s="18"/>
    </row>
    <row r="10" spans="1:10" x14ac:dyDescent="0.3">
      <c r="A10" s="18"/>
      <c r="B10" s="18"/>
      <c r="C10" s="18"/>
      <c r="D10" s="18"/>
      <c r="E10" s="18"/>
      <c r="F10" s="18"/>
      <c r="G10" s="18"/>
      <c r="H10" s="18"/>
      <c r="I10" s="18"/>
      <c r="J10" s="18"/>
    </row>
    <row r="11" spans="1:10" x14ac:dyDescent="0.3">
      <c r="A11" s="18"/>
      <c r="B11" s="18"/>
      <c r="C11" s="18"/>
      <c r="D11" s="18"/>
      <c r="E11" s="18"/>
      <c r="F11" s="18"/>
      <c r="G11" s="18"/>
      <c r="H11" s="18"/>
      <c r="I11" s="18"/>
      <c r="J11" s="18"/>
    </row>
    <row r="12" spans="1:10" x14ac:dyDescent="0.3">
      <c r="A12" s="18"/>
      <c r="B12" s="18"/>
      <c r="C12" s="18"/>
      <c r="D12" s="18"/>
      <c r="E12" s="18"/>
      <c r="F12" s="18"/>
      <c r="G12" s="18"/>
      <c r="H12" s="18"/>
      <c r="I12" s="18"/>
      <c r="J12" s="18"/>
    </row>
    <row r="13" spans="1:10" x14ac:dyDescent="0.3">
      <c r="A13" s="18"/>
      <c r="B13" s="18"/>
      <c r="C13" s="18"/>
      <c r="D13" s="18"/>
      <c r="E13" s="18"/>
      <c r="F13" s="18"/>
      <c r="G13" s="18"/>
      <c r="H13" s="18"/>
      <c r="I13" s="18"/>
      <c r="J13" s="18"/>
    </row>
    <row r="14" spans="1:10" x14ac:dyDescent="0.3">
      <c r="A14" s="18"/>
      <c r="B14" s="18"/>
      <c r="C14" s="18"/>
      <c r="D14" s="18"/>
      <c r="E14" s="18"/>
      <c r="F14" s="18"/>
      <c r="G14" s="18"/>
      <c r="H14" s="18"/>
      <c r="I14" s="18"/>
      <c r="J14" s="18"/>
    </row>
    <row r="15" spans="1:10" x14ac:dyDescent="0.3">
      <c r="A15" s="18"/>
      <c r="B15" s="18"/>
      <c r="C15" s="18"/>
      <c r="D15" s="18"/>
      <c r="E15" s="18"/>
      <c r="F15" s="18"/>
      <c r="G15" s="18"/>
      <c r="H15" s="18"/>
      <c r="I15" s="18"/>
      <c r="J15" s="18"/>
    </row>
    <row r="16" spans="1:10" x14ac:dyDescent="0.3">
      <c r="A16" s="18"/>
      <c r="B16" s="18"/>
      <c r="C16" s="18"/>
      <c r="D16" s="18"/>
      <c r="E16" s="18"/>
      <c r="F16" s="18"/>
      <c r="G16" s="18"/>
      <c r="H16" s="18"/>
      <c r="I16" s="18"/>
      <c r="J16" s="18"/>
    </row>
    <row r="17" spans="1:10" x14ac:dyDescent="0.3">
      <c r="A17" s="18"/>
      <c r="B17" s="18"/>
      <c r="C17" s="18"/>
      <c r="D17" s="18"/>
      <c r="E17" s="18"/>
      <c r="F17" s="18"/>
      <c r="G17" s="18"/>
      <c r="H17" s="18"/>
      <c r="I17" s="18"/>
      <c r="J17" s="18"/>
    </row>
    <row r="18" spans="1:10" x14ac:dyDescent="0.3">
      <c r="A18" s="18"/>
      <c r="B18" s="18"/>
      <c r="C18" s="18"/>
      <c r="D18" s="18"/>
      <c r="E18" s="18"/>
      <c r="F18" s="18"/>
      <c r="G18" s="18"/>
      <c r="H18" s="18"/>
      <c r="I18" s="18"/>
      <c r="J18" s="18"/>
    </row>
    <row r="19" spans="1:10" x14ac:dyDescent="0.3">
      <c r="A19" s="18"/>
      <c r="B19" s="18"/>
      <c r="C19" s="18"/>
      <c r="D19" s="18"/>
      <c r="E19" s="18"/>
      <c r="F19" s="18"/>
      <c r="G19" s="18"/>
      <c r="H19" s="18"/>
      <c r="I19" s="18"/>
      <c r="J19" s="18"/>
    </row>
    <row r="20" spans="1:10" x14ac:dyDescent="0.3">
      <c r="A20" s="18"/>
      <c r="B20" s="18"/>
      <c r="C20" s="18"/>
      <c r="D20" s="18"/>
      <c r="E20" s="18"/>
      <c r="F20" s="18"/>
      <c r="G20" s="18"/>
      <c r="H20" s="18"/>
      <c r="I20" s="18"/>
      <c r="J20" s="18"/>
    </row>
  </sheetData>
  <mergeCells count="1">
    <mergeCell ref="A1:J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Budget vs Actual Analysis</vt:lpstr>
      <vt:lpstr>Project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Saron Berhanu</dc:creator>
  <cp:lastModifiedBy>Saron Berhanu</cp:lastModifiedBy>
  <dcterms:created xsi:type="dcterms:W3CDTF">2025-12-30T08:20:33Z</dcterms:created>
  <dcterms:modified xsi:type="dcterms:W3CDTF">2026-01-13T04:41:37Z</dcterms:modified>
</cp:coreProperties>
</file>